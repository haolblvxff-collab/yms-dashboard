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048" windowHeight="13740"/>
  </bookViews>
  <sheets>
    <sheet name="Check list" sheetId="2" r:id="rId1"/>
    <sheet name="Runcard-template" sheetId="1" r:id="rId2"/>
    <sheet name="Layer mask及简写" sheetId="5" r:id="rId3"/>
    <sheet name="更新内容" sheetId="4" r:id="rId4"/>
  </sheets>
  <definedNames>
    <definedName name="_xlnm._FilterDatabase" localSheetId="1" hidden="1">'Runcard-template'!$A$5:$T$507</definedName>
  </definedNames>
  <calcPr calcId="144525"/>
</workbook>
</file>

<file path=xl/sharedStrings.xml><?xml version="1.0" encoding="utf-8"?>
<sst xmlns="http://schemas.openxmlformats.org/spreadsheetml/2006/main" count="5299" uniqueCount="1034">
  <si>
    <t>使用说明：</t>
  </si>
  <si>
    <t>1、在下方表格中填入对应膜度、RF trim信息并选择好需要的路径，Recipe和Trim信息会自动生成并填入第2页Runcard中，不需要的步骤背景会变黄色、文本变红色并加删除线作为区分；</t>
  </si>
  <si>
    <t>2、此表格及生成的runcard给到工艺部门确定，工艺部门需要修改的recipe信息填写到“PE correct框中”，修改的recipe信息会自动更新到第二页Run card模板中；</t>
  </si>
  <si>
    <t>3、将第二页需要的步骤（通过列筛选-颜色筛选-按文字颜色筛选-选择黑色）复制并“选择性粘贴--粘贴为数值”到《runcard导入模板》中，最后将其导入到MES中即可完成flow创建。</t>
  </si>
  <si>
    <t>Mask family name：</t>
  </si>
  <si>
    <t>EF041A</t>
  </si>
  <si>
    <t>( sample:EF030A)</t>
  </si>
  <si>
    <t>颜色</t>
  </si>
  <si>
    <t>含义</t>
  </si>
  <si>
    <t>Sc Percentage</t>
  </si>
  <si>
    <t>Code</t>
  </si>
  <si>
    <t>Production name:</t>
  </si>
  <si>
    <t>FQ003WM2A001</t>
  </si>
  <si>
    <t>Technical version:</t>
  </si>
  <si>
    <t>E001</t>
  </si>
  <si>
    <t>Owner修改区域</t>
  </si>
  <si>
    <t>AN</t>
  </si>
  <si>
    <t>Select Tx/Rx：</t>
  </si>
  <si>
    <t>Rx</t>
  </si>
  <si>
    <t>Production flow name：</t>
  </si>
  <si>
    <t>计算结果或基本不变，可修改</t>
  </si>
  <si>
    <t>AS</t>
  </si>
  <si>
    <t>工艺部门需要更改的recipe填在此处</t>
  </si>
  <si>
    <t>SB</t>
  </si>
  <si>
    <t>V1 Sc percentage:</t>
  </si>
  <si>
    <t>Sc% code:</t>
  </si>
  <si>
    <t>其他白色区域</t>
  </si>
  <si>
    <t>自动更正，不可修改</t>
  </si>
  <si>
    <t>SD</t>
  </si>
  <si>
    <t>V2 Sc percentage:</t>
  </si>
  <si>
    <t>默认无内容，不可修改</t>
  </si>
  <si>
    <t>SE</t>
  </si>
  <si>
    <t>A</t>
  </si>
  <si>
    <t>SF</t>
  </si>
  <si>
    <t>Layer No.</t>
  </si>
  <si>
    <t>Route Select</t>
  </si>
  <si>
    <t>Target THK(nm)</t>
  </si>
  <si>
    <t>Dep recipe confirm</t>
  </si>
  <si>
    <t>Photo recipe</t>
  </si>
  <si>
    <t>Etch /Trim recipe &amp; PR THK confirm</t>
  </si>
  <si>
    <t>B</t>
  </si>
  <si>
    <t>SG</t>
  </si>
  <si>
    <t>Template</t>
  </si>
  <si>
    <t>PE correct</t>
  </si>
  <si>
    <t>Suggest PR THK</t>
  </si>
  <si>
    <t>C</t>
  </si>
  <si>
    <t>SH</t>
  </si>
  <si>
    <t>S1</t>
  </si>
  <si>
    <t>1000</t>
  </si>
  <si>
    <t>U1</t>
  </si>
  <si>
    <t>348</t>
  </si>
  <si>
    <t>IP40U1@EF041A-95</t>
  </si>
  <si>
    <t>V1</t>
  </si>
  <si>
    <t>1100</t>
  </si>
  <si>
    <t>IP40V1@EF041A-97</t>
  </si>
  <si>
    <t>B1</t>
  </si>
  <si>
    <t>Yes</t>
  </si>
  <si>
    <t>200</t>
  </si>
  <si>
    <t>M2_TF</t>
  </si>
  <si>
    <t>368</t>
  </si>
  <si>
    <t>UVM1</t>
  </si>
  <si>
    <t>No</t>
  </si>
  <si>
    <t>060</t>
  </si>
  <si>
    <t>F1</t>
  </si>
  <si>
    <t>070</t>
  </si>
  <si>
    <t>PreM2</t>
  </si>
  <si>
    <t>Trim</t>
  </si>
  <si>
    <t>058</t>
  </si>
  <si>
    <t>PreM3</t>
  </si>
  <si>
    <t>011</t>
  </si>
  <si>
    <t>T1</t>
  </si>
  <si>
    <t>010</t>
  </si>
  <si>
    <t>T2</t>
  </si>
  <si>
    <t>015</t>
  </si>
  <si>
    <t>T3</t>
  </si>
  <si>
    <t>T4</t>
  </si>
  <si>
    <t>T5</t>
  </si>
  <si>
    <t>T6</t>
  </si>
  <si>
    <t>020</t>
  </si>
  <si>
    <t>T7</t>
  </si>
  <si>
    <t>030</t>
  </si>
  <si>
    <t>T8</t>
  </si>
  <si>
    <t>040</t>
  </si>
  <si>
    <t>M1</t>
  </si>
  <si>
    <t>Refer to W1</t>
  </si>
  <si>
    <t>ICP-M1MO368N</t>
  </si>
  <si>
    <t>删除</t>
  </si>
  <si>
    <t>W1</t>
  </si>
  <si>
    <t>V2</t>
  </si>
  <si>
    <t>300</t>
  </si>
  <si>
    <t>Pad</t>
  </si>
  <si>
    <t>2000/100</t>
  </si>
  <si>
    <t>V3</t>
  </si>
  <si>
    <t>Grinding</t>
  </si>
  <si>
    <t>250um</t>
  </si>
  <si>
    <t>Thin RF Trim</t>
  </si>
  <si>
    <t>Trim route:</t>
  </si>
  <si>
    <t>Trim time</t>
  </si>
  <si>
    <t>Frequency base</t>
  </si>
  <si>
    <t>1st Trim Target</t>
  </si>
  <si>
    <t>2nd Trim Target</t>
  </si>
  <si>
    <t>3rd Trim Target</t>
  </si>
  <si>
    <t>4th Trim Target</t>
  </si>
  <si>
    <t>A-Trim slope</t>
  </si>
  <si>
    <t>B-Trim intercept</t>
  </si>
  <si>
    <t>Center</t>
  </si>
  <si>
    <t xml:space="preserve">YANXIMC  Runcard产品流程信息 </t>
  </si>
  <si>
    <t>产品号(*)</t>
  </si>
  <si>
    <t>工艺流程号(*)</t>
  </si>
  <si>
    <t>路径号(*)</t>
  </si>
  <si>
    <t>步骤号(*)</t>
  </si>
  <si>
    <t>步骤描述(*)</t>
  </si>
  <si>
    <t>TARGET</t>
  </si>
  <si>
    <t>SPC JOB ID</t>
  </si>
  <si>
    <t>RECIPE ID(*)</t>
  </si>
  <si>
    <t>设备组ID(*)</t>
  </si>
  <si>
    <t>设备ID</t>
  </si>
  <si>
    <t>光罩族ID</t>
  </si>
  <si>
    <t>光罩ID</t>
  </si>
  <si>
    <t>EDC参数集ID</t>
  </si>
  <si>
    <t>Q-TIME</t>
  </si>
  <si>
    <t>Q-TIME ID</t>
  </si>
  <si>
    <t>返工流程ID</t>
  </si>
  <si>
    <t>返回工步号</t>
  </si>
  <si>
    <t>路径分支(0,1,不选)</t>
  </si>
  <si>
    <t>步骤分支(0,1,不选)</t>
  </si>
  <si>
    <t>操作提示</t>
  </si>
  <si>
    <t>操作类型</t>
  </si>
  <si>
    <t>WAFER START</t>
  </si>
  <si>
    <t>010020</t>
  </si>
  <si>
    <t>Wafer start</t>
  </si>
  <si>
    <t/>
  </si>
  <si>
    <t>NA</t>
  </si>
  <si>
    <t>LASER MARK</t>
  </si>
  <si>
    <t>010040</t>
  </si>
  <si>
    <t>Laser mark</t>
  </si>
  <si>
    <t>WFM-MAKHIM01</t>
  </si>
  <si>
    <t>AWFM</t>
  </si>
  <si>
    <t>020020</t>
  </si>
  <si>
    <t>Pre-Stress monitor wafer</t>
  </si>
  <si>
    <t>ASTR</t>
  </si>
  <si>
    <t>ETD_TF_WARP_S5</t>
  </si>
  <si>
    <t>020040</t>
  </si>
  <si>
    <t>Wafer clean before S1 dep</t>
  </si>
  <si>
    <t>WETSTD-CLEAN</t>
  </si>
  <si>
    <t>AACW</t>
  </si>
  <si>
    <t>72:00:00</t>
  </si>
  <si>
    <t>020060</t>
  </si>
  <si>
    <t>Bare wafer particle monitor</t>
  </si>
  <si>
    <t>PAC-SIOP3UMO</t>
  </si>
  <si>
    <t>APAC</t>
  </si>
  <si>
    <t>ETD_MFG_WPA_A</t>
  </si>
  <si>
    <t>ETD_WTRE0001</t>
  </si>
  <si>
    <t>020080</t>
  </si>
  <si>
    <t>S1 by PECVD</t>
  </si>
  <si>
    <t>ACVD</t>
  </si>
  <si>
    <t>020100</t>
  </si>
  <si>
    <t>THK monitor 49points</t>
  </si>
  <si>
    <t>ATHK</t>
  </si>
  <si>
    <t>ETD_TF_S1THK_HMT</t>
  </si>
  <si>
    <t>020120</t>
  </si>
  <si>
    <t>Post stress S1 monitor wafer</t>
  </si>
  <si>
    <t>ETD_TF_S1STRESS_T</t>
  </si>
  <si>
    <t>020140</t>
  </si>
  <si>
    <t>Roughness monitor 1point</t>
  </si>
  <si>
    <t>AAFM</t>
  </si>
  <si>
    <t>ETD_TF_S1RA_S5</t>
  </si>
  <si>
    <t>020160</t>
  </si>
  <si>
    <t>Monitor wafer split</t>
  </si>
  <si>
    <t>020180</t>
  </si>
  <si>
    <t>Wafer clean</t>
  </si>
  <si>
    <t>WETDIW-CLEAN</t>
  </si>
  <si>
    <t>AWET</t>
  </si>
  <si>
    <t>020200</t>
  </si>
  <si>
    <t>S1 Photolithography</t>
  </si>
  <si>
    <t>AILI</t>
  </si>
  <si>
    <t>020220</t>
  </si>
  <si>
    <t>Photo S1 TCD measure 5points</t>
  </si>
  <si>
    <t>ACDS</t>
  </si>
  <si>
    <t>ETD_PH_S1TCD_SCD</t>
  </si>
  <si>
    <t>ETD_PRRE0001</t>
  </si>
  <si>
    <t>020240</t>
  </si>
  <si>
    <t>Photo S1 BCD measure 5points</t>
  </si>
  <si>
    <t>ETD_PH_S1BCD_SCD</t>
  </si>
  <si>
    <t>020260</t>
  </si>
  <si>
    <t>ADI check</t>
  </si>
  <si>
    <t>AADI</t>
  </si>
  <si>
    <t>020280</t>
  </si>
  <si>
    <t>S1 Etch</t>
  </si>
  <si>
    <t>12:00:00</t>
  </si>
  <si>
    <t>020300</t>
  </si>
  <si>
    <t>Ashing</t>
  </si>
  <si>
    <t>ASH-AS1-002M</t>
  </si>
  <si>
    <t>AASH</t>
  </si>
  <si>
    <t>ETD_ETRE0001</t>
  </si>
  <si>
    <t>020320</t>
  </si>
  <si>
    <t>Wet PR strip</t>
  </si>
  <si>
    <t>WETPR-REMOVE</t>
  </si>
  <si>
    <t>ASSW</t>
  </si>
  <si>
    <t>020340</t>
  </si>
  <si>
    <t>Etch S1 THK measure 13points</t>
  </si>
  <si>
    <t>APRF</t>
  </si>
  <si>
    <t>ETD_ET_S1THK_S5</t>
  </si>
  <si>
    <t>84:00:00</t>
  </si>
  <si>
    <t>ETD_PERE0001</t>
  </si>
  <si>
    <t>020360</t>
  </si>
  <si>
    <t>Etch S1 TCD measure 5points</t>
  </si>
  <si>
    <t>ETD_ET_S1TCD_SCD</t>
  </si>
  <si>
    <t>020380</t>
  </si>
  <si>
    <t>Etch S1 BCD measure 5points</t>
  </si>
  <si>
    <t>ETD_ET_S1BCD_SCD</t>
  </si>
  <si>
    <t>020400</t>
  </si>
  <si>
    <t>AEI check</t>
  </si>
  <si>
    <t>020420</t>
  </si>
  <si>
    <t>DFI check</t>
  </si>
  <si>
    <t>ADFI</t>
  </si>
  <si>
    <t>ETD_PRRE0003</t>
  </si>
  <si>
    <t>040020</t>
  </si>
  <si>
    <t>Monitor wafer merge</t>
  </si>
  <si>
    <t>040040</t>
  </si>
  <si>
    <t>040060</t>
  </si>
  <si>
    <t>U1 By PVD</t>
  </si>
  <si>
    <t>APVD</t>
  </si>
  <si>
    <t>040120</t>
  </si>
  <si>
    <t>Post-Stress U1 monitor wafer</t>
  </si>
  <si>
    <t>ETD_TF_U1STRESS_T</t>
  </si>
  <si>
    <t>040140</t>
  </si>
  <si>
    <t>ETD_TF_U1RA_S5</t>
  </si>
  <si>
    <t>040160</t>
  </si>
  <si>
    <t>XRD monitor 1point</t>
  </si>
  <si>
    <t>AXRD</t>
  </si>
  <si>
    <t>ETD_TF_U1FWHM_T</t>
  </si>
  <si>
    <t>040180</t>
  </si>
  <si>
    <t>040190</t>
  </si>
  <si>
    <t>U1 THK measurement</t>
  </si>
  <si>
    <t>AMTH</t>
  </si>
  <si>
    <t>ETD_TF_U1THK_S5</t>
  </si>
  <si>
    <t>040200</t>
  </si>
  <si>
    <t>040220</t>
  </si>
  <si>
    <t>U1 Photolithography</t>
  </si>
  <si>
    <t>040240</t>
  </si>
  <si>
    <t>Photo U1 TCD measure 5points</t>
  </si>
  <si>
    <t>ETD_PH_U1TCD_SCD</t>
  </si>
  <si>
    <t>ETD_PRRE0002</t>
  </si>
  <si>
    <t>040260</t>
  </si>
  <si>
    <t>Photo U1 BCD measure 5points</t>
  </si>
  <si>
    <t>ETD_PH_U1BCD_SCD</t>
  </si>
  <si>
    <t>040280</t>
  </si>
  <si>
    <t>OVL measure</t>
  </si>
  <si>
    <t>AOVL</t>
  </si>
  <si>
    <t>ETD_PH_U1OVL_S5</t>
  </si>
  <si>
    <t>040300</t>
  </si>
  <si>
    <t>040320</t>
  </si>
  <si>
    <t>U1 Etch</t>
  </si>
  <si>
    <t>AICP</t>
  </si>
  <si>
    <t>040340</t>
  </si>
  <si>
    <t>ETD_ETRE0002</t>
  </si>
  <si>
    <t>040360</t>
  </si>
  <si>
    <t>ASH-085-005M</t>
  </si>
  <si>
    <t>040380</t>
  </si>
  <si>
    <t>040400</t>
  </si>
  <si>
    <t>Etch U1 THK measure 13points</t>
  </si>
  <si>
    <t>ETD_ET_U1THK_S5</t>
  </si>
  <si>
    <t>ETD_PERE0002</t>
  </si>
  <si>
    <t>040420</t>
  </si>
  <si>
    <t>Etch U1 TCD measure 5points</t>
  </si>
  <si>
    <t>ETD_ET_U1TCD_SCD</t>
  </si>
  <si>
    <t>040440</t>
  </si>
  <si>
    <t>Etch U1 BCD measure 5points</t>
  </si>
  <si>
    <t>ETD_ET_U1BCD_SCD</t>
  </si>
  <si>
    <t>040460</t>
  </si>
  <si>
    <t>040480</t>
  </si>
  <si>
    <t>PCM1 DC measure 49points</t>
  </si>
  <si>
    <t>AMTS</t>
  </si>
  <si>
    <t>ETD_PCM_U1_HMT</t>
  </si>
  <si>
    <t>040500</t>
  </si>
  <si>
    <t>V1_TF</t>
  </si>
  <si>
    <t>060020</t>
  </si>
  <si>
    <t>060040</t>
  </si>
  <si>
    <t>060060</t>
  </si>
  <si>
    <t>V1 By PVD</t>
  </si>
  <si>
    <t>060080</t>
  </si>
  <si>
    <t>ETD_TF_V1THK_T</t>
  </si>
  <si>
    <t>060100</t>
  </si>
  <si>
    <t>Post-Stress V1 monitor wafer</t>
  </si>
  <si>
    <t>ETD_TF_V1STRESS_T</t>
  </si>
  <si>
    <t>060120</t>
  </si>
  <si>
    <t>ETD_TF_V1RA_S5</t>
  </si>
  <si>
    <t>060140</t>
  </si>
  <si>
    <t>XRD monitor 1 poimt</t>
  </si>
  <si>
    <t>ETD_TF_V1FWHM_T</t>
  </si>
  <si>
    <t>060160</t>
  </si>
  <si>
    <t>B1_TF</t>
  </si>
  <si>
    <t>080020</t>
  </si>
  <si>
    <t>080040</t>
  </si>
  <si>
    <t>B1 By PECVD</t>
  </si>
  <si>
    <t>144:00:00</t>
  </si>
  <si>
    <t>100020</t>
  </si>
  <si>
    <t>100040</t>
  </si>
  <si>
    <t>V1 Photolithography</t>
  </si>
  <si>
    <t>100060</t>
  </si>
  <si>
    <t>Photo V1 TCD measure 5points</t>
  </si>
  <si>
    <t>ETD_PH_V1TCD_SCD</t>
  </si>
  <si>
    <t>100080</t>
  </si>
  <si>
    <t>Photo V1 BCD measure 5points</t>
  </si>
  <si>
    <t>ETD_PH_V1BCD_SCD</t>
  </si>
  <si>
    <t>100100</t>
  </si>
  <si>
    <t>ETD_PH_V1OVL_S5</t>
  </si>
  <si>
    <t>100120</t>
  </si>
  <si>
    <t>100140</t>
  </si>
  <si>
    <t>V1 Etch B1 SiO2</t>
  </si>
  <si>
    <t>100160</t>
  </si>
  <si>
    <t>V1 Etch</t>
  </si>
  <si>
    <t>100180</t>
  </si>
  <si>
    <t>ETD_ETRE0003</t>
  </si>
  <si>
    <t>100200</t>
  </si>
  <si>
    <t>100220</t>
  </si>
  <si>
    <t>100240</t>
  </si>
  <si>
    <t>Etch V1 THK measure 13points</t>
  </si>
  <si>
    <t>ETD_ET_V1THK_S5</t>
  </si>
  <si>
    <t>ETD_PERE0003</t>
  </si>
  <si>
    <t>100260</t>
  </si>
  <si>
    <t>Etch V1 TCD measure 5points</t>
  </si>
  <si>
    <t>ETD_ET_V1TCD_SCD</t>
  </si>
  <si>
    <t>100280</t>
  </si>
  <si>
    <t>Etch V1 BCD measure 5points</t>
  </si>
  <si>
    <t>ETD_ET_V1BCD_SCD</t>
  </si>
  <si>
    <t>100300</t>
  </si>
  <si>
    <t>100320</t>
  </si>
  <si>
    <t>PCM2 DC measure 49points</t>
  </si>
  <si>
    <t>ETD_PCM_V1_HMT</t>
  </si>
  <si>
    <t>100340</t>
  </si>
  <si>
    <t>120020</t>
  </si>
  <si>
    <t>120040</t>
  </si>
  <si>
    <t>B1 Photolithography</t>
  </si>
  <si>
    <t>120050</t>
  </si>
  <si>
    <t>Photo B1 TCD measure 5points</t>
  </si>
  <si>
    <t>ETD_PH_B1TCD_SCD</t>
  </si>
  <si>
    <t>120060</t>
  </si>
  <si>
    <t>Photo B1 BCD measure 5points</t>
  </si>
  <si>
    <t>ETD_PH_B1BCD_SCD</t>
  </si>
  <si>
    <t>120080</t>
  </si>
  <si>
    <t>ETD_PH_B1OVL_S5</t>
  </si>
  <si>
    <t>120100</t>
  </si>
  <si>
    <t>120120</t>
  </si>
  <si>
    <t>B1 Etch</t>
  </si>
  <si>
    <t>120140</t>
  </si>
  <si>
    <t>120160</t>
  </si>
  <si>
    <t>120180</t>
  </si>
  <si>
    <t>Etch B1 THK measure 13points</t>
  </si>
  <si>
    <t>ETD_ET_B1THK_S5</t>
  </si>
  <si>
    <t>120200</t>
  </si>
  <si>
    <t>120220</t>
  </si>
  <si>
    <t>130020</t>
  </si>
  <si>
    <t>130040</t>
  </si>
  <si>
    <t>130060</t>
  </si>
  <si>
    <t>F1 By PVD</t>
  </si>
  <si>
    <t>130120</t>
  </si>
  <si>
    <t>Post-Stress F1 monitor wafer</t>
  </si>
  <si>
    <t>ETD_TF_F1STRESS_T</t>
  </si>
  <si>
    <t>130140</t>
  </si>
  <si>
    <t>ETD_TF_F1RA_S5</t>
  </si>
  <si>
    <t>130160</t>
  </si>
  <si>
    <t>130170</t>
  </si>
  <si>
    <t>F1 THK measurement</t>
  </si>
  <si>
    <t>ETD_TF_F1THK_S5</t>
  </si>
  <si>
    <t>130180</t>
  </si>
  <si>
    <t>130200</t>
  </si>
  <si>
    <t>F1 Photolithography</t>
  </si>
  <si>
    <t>130220</t>
  </si>
  <si>
    <t>Photo F1 BCD measure 5points</t>
  </si>
  <si>
    <t>ETD_PH_F1BCD_SCD</t>
  </si>
  <si>
    <t>130240</t>
  </si>
  <si>
    <t>ETD_PH_F1OVL_S5</t>
  </si>
  <si>
    <t>130260</t>
  </si>
  <si>
    <t>130280</t>
  </si>
  <si>
    <t>F1 Etch</t>
  </si>
  <si>
    <t>130300</t>
  </si>
  <si>
    <t>ETD_ETRE0004</t>
  </si>
  <si>
    <t>130320</t>
  </si>
  <si>
    <t>130340</t>
  </si>
  <si>
    <t>130360</t>
  </si>
  <si>
    <t>Etch F1 THK measure 13points</t>
  </si>
  <si>
    <t>ETD_ET_F1THK_S5</t>
  </si>
  <si>
    <t>ETD_PERE0004</t>
  </si>
  <si>
    <t>130380</t>
  </si>
  <si>
    <t>Etch F1 BCD measure 5points</t>
  </si>
  <si>
    <t>ETD_ET_F1BCD_SCD</t>
  </si>
  <si>
    <t>130400</t>
  </si>
  <si>
    <t>130420</t>
  </si>
  <si>
    <t>140020</t>
  </si>
  <si>
    <t>140040</t>
  </si>
  <si>
    <t>140060</t>
  </si>
  <si>
    <t>M2 By PVD</t>
  </si>
  <si>
    <t>140120</t>
  </si>
  <si>
    <t>Post-Stress M2 monitor wafer</t>
  </si>
  <si>
    <t>ETD_TF_M2STRESS_T</t>
  </si>
  <si>
    <t>140140</t>
  </si>
  <si>
    <t>140160</t>
  </si>
  <si>
    <t>M2 THK measurement</t>
  </si>
  <si>
    <t>ETD_TF_M2THK_S5</t>
  </si>
  <si>
    <t>150010</t>
  </si>
  <si>
    <t>150020</t>
  </si>
  <si>
    <t>UVM1 Photolithography</t>
  </si>
  <si>
    <t>150030</t>
  </si>
  <si>
    <t>Photo UVM1 BCD measure 5points</t>
  </si>
  <si>
    <t>ETD_PH_UVM1TCD_HMT</t>
  </si>
  <si>
    <t>150040</t>
  </si>
  <si>
    <t>UVM1 OVL measure</t>
  </si>
  <si>
    <t>ETD_PH_UVM1OVL_S5</t>
  </si>
  <si>
    <t>150050</t>
  </si>
  <si>
    <t>ETD_PHRE0001</t>
  </si>
  <si>
    <t>150060</t>
  </si>
  <si>
    <t>UVM1 Trimming</t>
  </si>
  <si>
    <t>ATRM</t>
  </si>
  <si>
    <t>150070</t>
  </si>
  <si>
    <t>150080</t>
  </si>
  <si>
    <t>150090</t>
  </si>
  <si>
    <t>150100</t>
  </si>
  <si>
    <t>Trim UVM1 THK measure 13points</t>
  </si>
  <si>
    <t>ETD_ET_UVM1THK_A</t>
  </si>
  <si>
    <t>150110</t>
  </si>
  <si>
    <t>FR0WFCF3A001P001</t>
  </si>
  <si>
    <t>150120</t>
  </si>
  <si>
    <t>160020</t>
  </si>
  <si>
    <t>160040</t>
  </si>
  <si>
    <t>160060</t>
  </si>
  <si>
    <t>ETD_PH_F1TCD_SCD</t>
  </si>
  <si>
    <t>160080</t>
  </si>
  <si>
    <t>160100</t>
  </si>
  <si>
    <t>160120</t>
  </si>
  <si>
    <t>F1 Trimming</t>
  </si>
  <si>
    <t>160140</t>
  </si>
  <si>
    <t>160160</t>
  </si>
  <si>
    <t>160180</t>
  </si>
  <si>
    <t>160200</t>
  </si>
  <si>
    <t>F1 removal THK monitor</t>
  </si>
  <si>
    <t>ETD_TF_F1TMTHK_S5</t>
  </si>
  <si>
    <t>ETD_PTRE0001</t>
  </si>
  <si>
    <t>160240</t>
  </si>
  <si>
    <t>160260</t>
  </si>
  <si>
    <t>PRE_M2</t>
  </si>
  <si>
    <t>180020</t>
  </si>
  <si>
    <t>180040</t>
  </si>
  <si>
    <t>Pre_M2 Photolithography</t>
  </si>
  <si>
    <t>180060</t>
  </si>
  <si>
    <t>Photo Pre_M2 BCD measure 5points</t>
  </si>
  <si>
    <t>ETD_PH_PREM2BCD_SCD</t>
  </si>
  <si>
    <t>180080</t>
  </si>
  <si>
    <t>Pre_M2 OVL measure</t>
  </si>
  <si>
    <t>ETD_PH_PREM2OVL_S5</t>
  </si>
  <si>
    <t>180100</t>
  </si>
  <si>
    <t>180120</t>
  </si>
  <si>
    <t>Pre_M2 Trimming</t>
  </si>
  <si>
    <t>180140</t>
  </si>
  <si>
    <t>WETPR-REMOVE2</t>
  </si>
  <si>
    <t>180160</t>
  </si>
  <si>
    <t>180180</t>
  </si>
  <si>
    <t>180200</t>
  </si>
  <si>
    <t>Pre_M2 removal THK monitor</t>
  </si>
  <si>
    <t>ETD_TF_PREM2THK_S3</t>
  </si>
  <si>
    <t>ETD_PTRE0002</t>
  </si>
  <si>
    <t>180240</t>
  </si>
  <si>
    <t>Trim Pre_M2 BCD measure 5points</t>
  </si>
  <si>
    <t>ETD_ET_PREM2BCD_SCD</t>
  </si>
  <si>
    <t>180260</t>
  </si>
  <si>
    <t>180280</t>
  </si>
  <si>
    <t>PRE_M3</t>
  </si>
  <si>
    <t>190020</t>
  </si>
  <si>
    <t>190040</t>
  </si>
  <si>
    <t>Pre_M3 Photolithography</t>
  </si>
  <si>
    <t>190060</t>
  </si>
  <si>
    <t>Photo Pre_M3 BCD measure 5points</t>
  </si>
  <si>
    <t>190080</t>
  </si>
  <si>
    <t>Pre_M3 OVL measure</t>
  </si>
  <si>
    <t>190100</t>
  </si>
  <si>
    <t>190120</t>
  </si>
  <si>
    <t>Pre_M3 Trimming</t>
  </si>
  <si>
    <t>190140</t>
  </si>
  <si>
    <t>WETPR-REMOM2</t>
  </si>
  <si>
    <t>190160</t>
  </si>
  <si>
    <t>190180</t>
  </si>
  <si>
    <t>190200</t>
  </si>
  <si>
    <t>Pre_M3 removal THK monitor</t>
  </si>
  <si>
    <t>190220</t>
  </si>
  <si>
    <t>Trim Pre_M3 BCD measure 5points</t>
  </si>
  <si>
    <t>190240</t>
  </si>
  <si>
    <t>190260</t>
  </si>
  <si>
    <t>200020</t>
  </si>
  <si>
    <t>200040</t>
  </si>
  <si>
    <t>T1 Photolithography</t>
  </si>
  <si>
    <t>200060</t>
  </si>
  <si>
    <t>Photo T1 BCD measure 5points</t>
  </si>
  <si>
    <t>ETD_PH_T1BCD_SCD</t>
  </si>
  <si>
    <t>200080</t>
  </si>
  <si>
    <t>ETD_PH_T1OVL_S5</t>
  </si>
  <si>
    <t>200100</t>
  </si>
  <si>
    <t>200120</t>
  </si>
  <si>
    <t>T1 Trimming</t>
  </si>
  <si>
    <t>200140</t>
  </si>
  <si>
    <t>200160</t>
  </si>
  <si>
    <t>200180</t>
  </si>
  <si>
    <t>200200</t>
  </si>
  <si>
    <t>T1 removal THK monitor</t>
  </si>
  <si>
    <t>ETD_TF_T1THK_S3</t>
  </si>
  <si>
    <t>ETD_PTRE0003</t>
  </si>
  <si>
    <t>200240</t>
  </si>
  <si>
    <t>200260</t>
  </si>
  <si>
    <t>220020</t>
  </si>
  <si>
    <t>220040</t>
  </si>
  <si>
    <t>T2 Photolithography</t>
  </si>
  <si>
    <t>220060</t>
  </si>
  <si>
    <t>Photo T2 BCD measure 5points</t>
  </si>
  <si>
    <t>ETD_PH_T2BCD_SCD</t>
  </si>
  <si>
    <t>220080</t>
  </si>
  <si>
    <t>ETD_PH_T2OVL_S5</t>
  </si>
  <si>
    <t>220100</t>
  </si>
  <si>
    <t>220120</t>
  </si>
  <si>
    <t>T2 Trimming</t>
  </si>
  <si>
    <t>220140</t>
  </si>
  <si>
    <t>220160</t>
  </si>
  <si>
    <t>220180</t>
  </si>
  <si>
    <t>220200</t>
  </si>
  <si>
    <t>T2 removal THK monitor</t>
  </si>
  <si>
    <t>ETD_TF_T2THK_S3</t>
  </si>
  <si>
    <t>ETD_PTRE0004</t>
  </si>
  <si>
    <t>220240</t>
  </si>
  <si>
    <t>220260</t>
  </si>
  <si>
    <t>240020</t>
  </si>
  <si>
    <t>240040</t>
  </si>
  <si>
    <t>T3 Photolithography</t>
  </si>
  <si>
    <t>240060</t>
  </si>
  <si>
    <t>Photo T3 BCD measure 5points</t>
  </si>
  <si>
    <t>ETD_PH_T3BCD_SCD</t>
  </si>
  <si>
    <t>240080</t>
  </si>
  <si>
    <t>ETD_PH_T3OVL_S5</t>
  </si>
  <si>
    <t>240100</t>
  </si>
  <si>
    <t>240120</t>
  </si>
  <si>
    <t>T3 Trimming</t>
  </si>
  <si>
    <t>240140</t>
  </si>
  <si>
    <t>240160</t>
  </si>
  <si>
    <t>240180</t>
  </si>
  <si>
    <t>240200</t>
  </si>
  <si>
    <t>T3 removal THK monitor</t>
  </si>
  <si>
    <t>ETD_TF_T3THK_S3</t>
  </si>
  <si>
    <t>ETD_PTRE0005</t>
  </si>
  <si>
    <t>240240</t>
  </si>
  <si>
    <t>240260</t>
  </si>
  <si>
    <t>260020</t>
  </si>
  <si>
    <t>260040</t>
  </si>
  <si>
    <t>T4 Photolithography</t>
  </si>
  <si>
    <t>260060</t>
  </si>
  <si>
    <t>Photo T4 BCD measure 5points</t>
  </si>
  <si>
    <t>ETD_PH_T4BCD_SCD</t>
  </si>
  <si>
    <t>260080</t>
  </si>
  <si>
    <t>ETD_PH_T4OVL_S5</t>
  </si>
  <si>
    <t>260100</t>
  </si>
  <si>
    <t>260120</t>
  </si>
  <si>
    <t>T4 Trimming</t>
  </si>
  <si>
    <t>260140</t>
  </si>
  <si>
    <t>260160</t>
  </si>
  <si>
    <t>260180</t>
  </si>
  <si>
    <t>260200</t>
  </si>
  <si>
    <t>T4 removal THK monitor</t>
  </si>
  <si>
    <t>ETD_TF_T4THK_S3</t>
  </si>
  <si>
    <t>ETD_PTRE0006</t>
  </si>
  <si>
    <t>260240</t>
  </si>
  <si>
    <t>260260</t>
  </si>
  <si>
    <t>280020</t>
  </si>
  <si>
    <t>280040</t>
  </si>
  <si>
    <t>T5 Photolithography</t>
  </si>
  <si>
    <t>280060</t>
  </si>
  <si>
    <t>Photo T5 BCD measure 5points</t>
  </si>
  <si>
    <t>ETD_PH_T5BCD_SCD</t>
  </si>
  <si>
    <t>280080</t>
  </si>
  <si>
    <t>ETD_PH_T5OVL_S5</t>
  </si>
  <si>
    <t>280100</t>
  </si>
  <si>
    <t>280120</t>
  </si>
  <si>
    <t>T5 Trimming</t>
  </si>
  <si>
    <t>280140</t>
  </si>
  <si>
    <t>280160</t>
  </si>
  <si>
    <t>280180</t>
  </si>
  <si>
    <t>280200</t>
  </si>
  <si>
    <t>T5 removal THK monitor</t>
  </si>
  <si>
    <t>ETD_TF_T5THK_S3</t>
  </si>
  <si>
    <t>ETD_PTRE0007</t>
  </si>
  <si>
    <t>280240</t>
  </si>
  <si>
    <t>280260</t>
  </si>
  <si>
    <t>FR0WFCF3A001E002</t>
  </si>
  <si>
    <t>285020</t>
  </si>
  <si>
    <t>285040</t>
  </si>
  <si>
    <t>T6 Photolithography</t>
  </si>
  <si>
    <t>285060</t>
  </si>
  <si>
    <t>Photo T6 BCD measure 5points</t>
  </si>
  <si>
    <t>ETD_PH_T6BCD_SCD</t>
  </si>
  <si>
    <t>285080</t>
  </si>
  <si>
    <t>ETD_PH_T6OVL_S5</t>
  </si>
  <si>
    <t>285100</t>
  </si>
  <si>
    <t>285120</t>
  </si>
  <si>
    <t>T6 Trimming</t>
  </si>
  <si>
    <t>T6 Trim removal Mo 015nm</t>
  </si>
  <si>
    <t>285140</t>
  </si>
  <si>
    <t>285160</t>
  </si>
  <si>
    <t>285180</t>
  </si>
  <si>
    <t>285200</t>
  </si>
  <si>
    <t>T6 removal THK monitor</t>
  </si>
  <si>
    <t>ETD_TF_T6THK_S3</t>
  </si>
  <si>
    <t>ETD_PTRE0008</t>
  </si>
  <si>
    <t>285240</t>
  </si>
  <si>
    <t>285260</t>
  </si>
  <si>
    <t>290020</t>
  </si>
  <si>
    <t>290040</t>
  </si>
  <si>
    <t>T7 Photolithography</t>
  </si>
  <si>
    <t>290060</t>
  </si>
  <si>
    <t>Photo T7 BCD measure 5points</t>
  </si>
  <si>
    <t>ETD_PH_T7BCD_SCD</t>
  </si>
  <si>
    <t>290080</t>
  </si>
  <si>
    <t>ETD_PH_T7OVL_S5</t>
  </si>
  <si>
    <t>290100</t>
  </si>
  <si>
    <t>290120</t>
  </si>
  <si>
    <t>T7 Trimming</t>
  </si>
  <si>
    <t>T7 Trim removal Mo 015nm</t>
  </si>
  <si>
    <t>290140</t>
  </si>
  <si>
    <t>290160</t>
  </si>
  <si>
    <t>290180</t>
  </si>
  <si>
    <t>290200</t>
  </si>
  <si>
    <t>T7 removal THK monitor</t>
  </si>
  <si>
    <t>ETD_TF_T7THK_S3</t>
  </si>
  <si>
    <t>ETD_PTRE0009</t>
  </si>
  <si>
    <t>290240</t>
  </si>
  <si>
    <t>290260</t>
  </si>
  <si>
    <t>295020</t>
  </si>
  <si>
    <t>295040</t>
  </si>
  <si>
    <t>T8 Photolithography</t>
  </si>
  <si>
    <t>295060</t>
  </si>
  <si>
    <t>Photo T8 BCD measure 5points</t>
  </si>
  <si>
    <t>ETD_PH_T8BCD_SCD</t>
  </si>
  <si>
    <t>295080</t>
  </si>
  <si>
    <t>ETD_PH_T8OVL_S5</t>
  </si>
  <si>
    <t>295100</t>
  </si>
  <si>
    <t>295120</t>
  </si>
  <si>
    <t>T8 Trimming</t>
  </si>
  <si>
    <t>T8 Trim removal Mo 015nm</t>
  </si>
  <si>
    <t>295140</t>
  </si>
  <si>
    <t>295160</t>
  </si>
  <si>
    <t>295180</t>
  </si>
  <si>
    <t>295200</t>
  </si>
  <si>
    <t>T8 removal THK monitor</t>
  </si>
  <si>
    <t>ETD_TF_T8THK_S3</t>
  </si>
  <si>
    <t>ETD_PTRE0010</t>
  </si>
  <si>
    <t>295240</t>
  </si>
  <si>
    <t>295260</t>
  </si>
  <si>
    <t>300020</t>
  </si>
  <si>
    <t>300040</t>
  </si>
  <si>
    <t>M1 Photolithography</t>
  </si>
  <si>
    <t>300060</t>
  </si>
  <si>
    <t>Photo M1 BCD measure 5points</t>
  </si>
  <si>
    <t>ETD_PH_M1BCD_SCD</t>
  </si>
  <si>
    <t>300080</t>
  </si>
  <si>
    <t>ETD_PH_M1OVL_S5</t>
  </si>
  <si>
    <t>300100</t>
  </si>
  <si>
    <t>300120</t>
  </si>
  <si>
    <t>M1 physics Etch</t>
  </si>
  <si>
    <t>300140</t>
  </si>
  <si>
    <t>M1 chemical Etch</t>
  </si>
  <si>
    <t>300160</t>
  </si>
  <si>
    <t>ETD_ETRE0005</t>
  </si>
  <si>
    <t>300180</t>
  </si>
  <si>
    <t>300200</t>
  </si>
  <si>
    <t>300220</t>
  </si>
  <si>
    <t>Etch M2 THK measure 13points</t>
  </si>
  <si>
    <t>ETD_ET_M2THK_S5</t>
  </si>
  <si>
    <t>ETD_PERE0005</t>
  </si>
  <si>
    <t>300240</t>
  </si>
  <si>
    <t>Etch M1 THK measure 13points</t>
  </si>
  <si>
    <t>ETD_ET_M1THK_S5</t>
  </si>
  <si>
    <t>300260</t>
  </si>
  <si>
    <t>Etch M1 BCD measure 5points</t>
  </si>
  <si>
    <t>ETD_ET_M1BCD_SCD</t>
  </si>
  <si>
    <t>300280</t>
  </si>
  <si>
    <t>300300</t>
  </si>
  <si>
    <t>PCM3 DC measure 49points</t>
  </si>
  <si>
    <t>ETD_PCM_M1_HMT</t>
  </si>
  <si>
    <t>V2_TF</t>
  </si>
  <si>
    <t>320020</t>
  </si>
  <si>
    <t>320040</t>
  </si>
  <si>
    <t>320060</t>
  </si>
  <si>
    <t>V2 By PVD</t>
  </si>
  <si>
    <t>320080</t>
  </si>
  <si>
    <t>ETD_TF_V2THK_T</t>
  </si>
  <si>
    <t>320100</t>
  </si>
  <si>
    <t>Post-Stress V2 monitor wafer</t>
  </si>
  <si>
    <t>ETD_TF_V2STRESS_T</t>
  </si>
  <si>
    <t>320120</t>
  </si>
  <si>
    <t>340020</t>
  </si>
  <si>
    <t>340040</t>
  </si>
  <si>
    <t>W1 Photolithography</t>
  </si>
  <si>
    <t>340060</t>
  </si>
  <si>
    <t>Photo W1 BCD measure 5points</t>
  </si>
  <si>
    <t>ETD_PH_W1BCD_SCD</t>
  </si>
  <si>
    <t>340080</t>
  </si>
  <si>
    <t>ETD_PH_W1OVL_S5</t>
  </si>
  <si>
    <t>340100</t>
  </si>
  <si>
    <t>340120</t>
  </si>
  <si>
    <t>V2 AlN etch</t>
  </si>
  <si>
    <t>340140</t>
  </si>
  <si>
    <t>340160</t>
  </si>
  <si>
    <t>ETD_ETRE0006</t>
  </si>
  <si>
    <t>340180</t>
  </si>
  <si>
    <t>340200</t>
  </si>
  <si>
    <t>340220</t>
  </si>
  <si>
    <t>Etch W2 THK measure 13points</t>
  </si>
  <si>
    <t>ETD_ET_W2THK_S5</t>
  </si>
  <si>
    <t>ETD_PERE0006</t>
  </si>
  <si>
    <t>340240</t>
  </si>
  <si>
    <t>Etch W1 THK measure 13points</t>
  </si>
  <si>
    <t>ETD_ET_W1THK_S5</t>
  </si>
  <si>
    <t>340260</t>
  </si>
  <si>
    <t>Etch W1 BCD measure 5points</t>
  </si>
  <si>
    <t>ETD_ET_W1BCD_SCD</t>
  </si>
  <si>
    <t>340280</t>
  </si>
  <si>
    <t>340300</t>
  </si>
  <si>
    <t>360020</t>
  </si>
  <si>
    <t>360040</t>
  </si>
  <si>
    <t>V2 Photolithography</t>
  </si>
  <si>
    <t>360060</t>
  </si>
  <si>
    <t>Photo V2 BCD measure 5points</t>
  </si>
  <si>
    <t>ETD_PH_V2BCD_SCD</t>
  </si>
  <si>
    <t>360080</t>
  </si>
  <si>
    <t>ETD_PH_V2OVL_S5</t>
  </si>
  <si>
    <t>360100</t>
  </si>
  <si>
    <t>360120</t>
  </si>
  <si>
    <t>V2 Etch</t>
  </si>
  <si>
    <t>360140</t>
  </si>
  <si>
    <t>ETD_ETRE0007</t>
  </si>
  <si>
    <t>360160</t>
  </si>
  <si>
    <t>360180</t>
  </si>
  <si>
    <t>360200</t>
  </si>
  <si>
    <t>Etch V2 THK measure 13points</t>
  </si>
  <si>
    <t>ETD_ET_V2THK_S5</t>
  </si>
  <si>
    <t>ETD_PERE0007</t>
  </si>
  <si>
    <t>360220</t>
  </si>
  <si>
    <t>Etch V2 BCD measure 5points</t>
  </si>
  <si>
    <t>ETD_ET_V2BCD_SCD</t>
  </si>
  <si>
    <t>360240</t>
  </si>
  <si>
    <t>360260</t>
  </si>
  <si>
    <t>PCM5 DC measure 49points</t>
  </si>
  <si>
    <t>ETD_PCM_V2_HMT</t>
  </si>
  <si>
    <t>360280</t>
  </si>
  <si>
    <t>PAD</t>
  </si>
  <si>
    <t>380020</t>
  </si>
  <si>
    <t>380040</t>
  </si>
  <si>
    <t>Pad Photolithography</t>
  </si>
  <si>
    <t>380060</t>
  </si>
  <si>
    <t>Photo Pad BCD measure 5points</t>
  </si>
  <si>
    <t>ETD_PH_P1BCD_SCD</t>
  </si>
  <si>
    <t>380080</t>
  </si>
  <si>
    <t>ETD_PH_P1OVL_S5</t>
  </si>
  <si>
    <t>380100</t>
  </si>
  <si>
    <t>380120</t>
  </si>
  <si>
    <t>Pad by EVR</t>
  </si>
  <si>
    <t>AEGN</t>
  </si>
  <si>
    <t>24:00:00</t>
  </si>
  <si>
    <t>380140</t>
  </si>
  <si>
    <t>Pad THK measurement</t>
  </si>
  <si>
    <t>ETD_TF_P1THK_S10H</t>
  </si>
  <si>
    <t>380180</t>
  </si>
  <si>
    <t>Pad lift off</t>
  </si>
  <si>
    <t>ALIF</t>
  </si>
  <si>
    <t>380200</t>
  </si>
  <si>
    <t>Etch Pad THK measure 13points</t>
  </si>
  <si>
    <t>ETD_ET_P1THK_S5</t>
  </si>
  <si>
    <t>380220</t>
  </si>
  <si>
    <t>Etch Pad BCD measure 5points</t>
  </si>
  <si>
    <t>ETD_ET_P1BCD_SCD</t>
  </si>
  <si>
    <t>380240</t>
  </si>
  <si>
    <t>ETD_LFRE0001</t>
  </si>
  <si>
    <t>380260</t>
  </si>
  <si>
    <t>PCM4 DC measure 49points</t>
  </si>
  <si>
    <t>ETD_PCM_P1_HMT</t>
  </si>
  <si>
    <t>380280</t>
  </si>
  <si>
    <t>460020</t>
  </si>
  <si>
    <t>460040</t>
  </si>
  <si>
    <t>V3 Photolithography</t>
  </si>
  <si>
    <t>460060</t>
  </si>
  <si>
    <t>Photo V3 BCD measure 5points</t>
  </si>
  <si>
    <t>ETD_PH_V3BCD_SCD</t>
  </si>
  <si>
    <t>460080</t>
  </si>
  <si>
    <t>ETD_PH_V3OVL_S5</t>
  </si>
  <si>
    <t>460100</t>
  </si>
  <si>
    <t>460120</t>
  </si>
  <si>
    <t>V3 Etch</t>
  </si>
  <si>
    <t>460140</t>
  </si>
  <si>
    <t>ETD_ETRE0010</t>
  </si>
  <si>
    <t>460160</t>
  </si>
  <si>
    <t>460180</t>
  </si>
  <si>
    <t>460200</t>
  </si>
  <si>
    <t>Etch V3 THK measure 13points</t>
  </si>
  <si>
    <t>ETD_ET_V3THK_S5</t>
  </si>
  <si>
    <t>ETD_PERE0009</t>
  </si>
  <si>
    <t>460220</t>
  </si>
  <si>
    <t>Etch V3 BCD measure 5points</t>
  </si>
  <si>
    <t>ETD_ET_V3BCD_SCD</t>
  </si>
  <si>
    <t>FR0WFCF3A001E001</t>
  </si>
  <si>
    <t>460240</t>
  </si>
  <si>
    <t>460260</t>
  </si>
  <si>
    <t>GRIND</t>
  </si>
  <si>
    <t>520160</t>
  </si>
  <si>
    <t>Tape lamination for grinding</t>
  </si>
  <si>
    <t>ATAP01</t>
  </si>
  <si>
    <t>520180</t>
  </si>
  <si>
    <t>wafer backside grinding</t>
  </si>
  <si>
    <t>WBG-140-250</t>
  </si>
  <si>
    <t>AWBG01</t>
  </si>
  <si>
    <t>520200</t>
  </si>
  <si>
    <t>De-tape after grinding</t>
  </si>
  <si>
    <t>ADET01</t>
  </si>
  <si>
    <t>520220</t>
  </si>
  <si>
    <t>thin wafer thickness measurement</t>
  </si>
  <si>
    <t>5 points，exculde edge 10mm</t>
  </si>
  <si>
    <t>ETD_TF_250THK_HMT</t>
  </si>
  <si>
    <t>520240</t>
  </si>
  <si>
    <t>thin wafer wargape measurement</t>
  </si>
  <si>
    <t>wafer height 0.25mm</t>
  </si>
  <si>
    <t>ASTR01</t>
  </si>
  <si>
    <t>ETD_ET_250WARP_S5</t>
  </si>
  <si>
    <t>520260</t>
  </si>
  <si>
    <t>After grind inspection</t>
  </si>
  <si>
    <t>Thin REL_ET</t>
  </si>
  <si>
    <t>530020</t>
  </si>
  <si>
    <t>Check wafer edge</t>
  </si>
  <si>
    <t>530060</t>
  </si>
  <si>
    <t>Pre bake</t>
  </si>
  <si>
    <t>AOVE</t>
  </si>
  <si>
    <t>530080</t>
  </si>
  <si>
    <t>Release Etch</t>
  </si>
  <si>
    <t>ET-RELEASE01</t>
  </si>
  <si>
    <t>AREL</t>
  </si>
  <si>
    <t>530100</t>
  </si>
  <si>
    <t>Post bake</t>
  </si>
  <si>
    <t>530120</t>
  </si>
  <si>
    <t>ETD_ETRE0009</t>
  </si>
  <si>
    <t>THIN RF TRIM</t>
  </si>
  <si>
    <t>560020</t>
  </si>
  <si>
    <t>1st RF measurement</t>
  </si>
  <si>
    <t>1st RF</t>
  </si>
  <si>
    <t>ATES</t>
  </si>
  <si>
    <t>ETD_PCM_1stRF_A</t>
  </si>
  <si>
    <t>560080</t>
  </si>
  <si>
    <t>1st IBE file creation</t>
  </si>
  <si>
    <t>560090</t>
  </si>
  <si>
    <t>1st Trim check wafer edge</t>
  </si>
  <si>
    <t>560100</t>
  </si>
  <si>
    <t>1st Thin wafer RF Trimming</t>
  </si>
  <si>
    <t>560140</t>
  </si>
  <si>
    <t>2nd RF measurement</t>
  </si>
  <si>
    <t>2nd RF</t>
  </si>
  <si>
    <t>ETD_PCM_2ndRF_A</t>
  </si>
  <si>
    <t>560200</t>
  </si>
  <si>
    <t>2nd IBE file creation</t>
  </si>
  <si>
    <t>560210</t>
  </si>
  <si>
    <t>2nd Trim check wafer edge</t>
  </si>
  <si>
    <t>560220</t>
  </si>
  <si>
    <t>2nd Thin wafer RF Trimming</t>
  </si>
  <si>
    <t>560260</t>
  </si>
  <si>
    <t>3rd RF measurement</t>
  </si>
  <si>
    <t>3rd RF</t>
  </si>
  <si>
    <t>ETD_PCM_3rdRF_A</t>
  </si>
  <si>
    <t>560320</t>
  </si>
  <si>
    <t>3rd IBE file creation</t>
  </si>
  <si>
    <t>560330</t>
  </si>
  <si>
    <t>3rd Trim check wafer edge</t>
  </si>
  <si>
    <t>560340</t>
  </si>
  <si>
    <t>3rd Thin wafer RF Trimming</t>
  </si>
  <si>
    <t>560380</t>
  </si>
  <si>
    <t>4th RF measurement</t>
  </si>
  <si>
    <t>4th RF</t>
  </si>
  <si>
    <t>ETD_PCM_4thRF_A</t>
  </si>
  <si>
    <t>560440</t>
  </si>
  <si>
    <t>4th IBE file creation</t>
  </si>
  <si>
    <t>560450</t>
  </si>
  <si>
    <t>4th Trim check wafer edge</t>
  </si>
  <si>
    <t>560460</t>
  </si>
  <si>
    <t>4th Thin wafer RF Trimming</t>
  </si>
  <si>
    <t>560500</t>
  </si>
  <si>
    <t>5th RF measurement</t>
  </si>
  <si>
    <t>5th RF</t>
  </si>
  <si>
    <t>ETD_PCM_5thRF_A</t>
  </si>
  <si>
    <t>560520</t>
  </si>
  <si>
    <t>Owner check Trim result</t>
  </si>
  <si>
    <t>ETD_TRRE0001</t>
  </si>
  <si>
    <t>PKG PREPARE</t>
  </si>
  <si>
    <t>580020</t>
  </si>
  <si>
    <t>250um wafer OQC check</t>
  </si>
  <si>
    <t>580040</t>
  </si>
  <si>
    <t>Vacuum package</t>
  </si>
  <si>
    <t>APAK</t>
  </si>
  <si>
    <t>580060</t>
  </si>
  <si>
    <t>Transfer To FAB B</t>
  </si>
  <si>
    <t>Lot judgement</t>
  </si>
  <si>
    <t>900000</t>
  </si>
  <si>
    <t>YANXIMC Rework  flow 返工流程信息</t>
  </si>
  <si>
    <t>RECIPE ID (*)</t>
  </si>
  <si>
    <t>设备组(*)</t>
  </si>
  <si>
    <t>920010</t>
  </si>
  <si>
    <t>Dummy for wet clean rework</t>
  </si>
  <si>
    <t>930010</t>
  </si>
  <si>
    <t>930020</t>
  </si>
  <si>
    <t>930110</t>
  </si>
  <si>
    <t>930120</t>
  </si>
  <si>
    <t>930210</t>
  </si>
  <si>
    <t>930220</t>
  </si>
  <si>
    <t>930310</t>
  </si>
  <si>
    <t>Lift-off rework</t>
  </si>
  <si>
    <t>940010</t>
  </si>
  <si>
    <t>S1 Etch rework</t>
  </si>
  <si>
    <t>ICP-S1OXREWK</t>
  </si>
  <si>
    <t>940110</t>
  </si>
  <si>
    <t>U1 Etch rework</t>
  </si>
  <si>
    <t>ICP-U1MOREWK</t>
  </si>
  <si>
    <t>940210</t>
  </si>
  <si>
    <t>V1 Etch rework</t>
  </si>
  <si>
    <t>ICP-V1ANREWK</t>
  </si>
  <si>
    <t>940310</t>
  </si>
  <si>
    <t>F1 Etch rework</t>
  </si>
  <si>
    <t>ICP-F1MOREWK</t>
  </si>
  <si>
    <t>940410</t>
  </si>
  <si>
    <t>M1 chemical Etch rework</t>
  </si>
  <si>
    <t>ICP-M1MOREWK</t>
  </si>
  <si>
    <t>940510</t>
  </si>
  <si>
    <t>W1 Mo chemical Etch rework</t>
  </si>
  <si>
    <t>940610</t>
  </si>
  <si>
    <t>V2 Etch rework</t>
  </si>
  <si>
    <t>ICP-V2ANREWK</t>
  </si>
  <si>
    <t>940810</t>
  </si>
  <si>
    <t>2</t>
  </si>
  <si>
    <t>940910</t>
  </si>
  <si>
    <t>ET-RELEASERE</t>
  </si>
  <si>
    <t>945010</t>
  </si>
  <si>
    <t>V3 Etch rework</t>
  </si>
  <si>
    <t>ICP-V3ANREWK</t>
  </si>
  <si>
    <t>F1 Trimming rework</t>
  </si>
  <si>
    <t>TRM-MO280N-A</t>
  </si>
  <si>
    <t>Pre_M2 Trimming rework</t>
  </si>
  <si>
    <t>T1 Trimming rework</t>
  </si>
  <si>
    <t>T2 Trimming rework</t>
  </si>
  <si>
    <t>T3 Trimming rework</t>
  </si>
  <si>
    <t>T4 Trimming rework</t>
  </si>
  <si>
    <t>T5 Trimming rework</t>
  </si>
  <si>
    <t>T6 Trimming rework</t>
  </si>
  <si>
    <t>T7 Trimming rework</t>
  </si>
  <si>
    <t>T8 Trimming rework</t>
  </si>
  <si>
    <t>Trim rework IBE file creation</t>
  </si>
  <si>
    <t>Rework Trim check wafer edge</t>
  </si>
  <si>
    <t>Rework Thin wafer RF Trimming</t>
  </si>
  <si>
    <t>TRM-AN300N-C</t>
  </si>
  <si>
    <t>After rework RF measurement</t>
  </si>
  <si>
    <t>Re RF</t>
  </si>
  <si>
    <t>路径号</t>
  </si>
  <si>
    <t>Rcp简写</t>
  </si>
  <si>
    <t>路径编码</t>
  </si>
  <si>
    <t>080</t>
  </si>
  <si>
    <t>100</t>
  </si>
  <si>
    <t>120</t>
  </si>
  <si>
    <t>F1(Dep+etch)</t>
  </si>
  <si>
    <t>130</t>
  </si>
  <si>
    <t>M2</t>
  </si>
  <si>
    <t>140</t>
  </si>
  <si>
    <t>UM</t>
  </si>
  <si>
    <t>150</t>
  </si>
  <si>
    <t>F1(Trim)</t>
  </si>
  <si>
    <t>160</t>
  </si>
  <si>
    <t>PM</t>
  </si>
  <si>
    <t>180</t>
  </si>
  <si>
    <t>P3</t>
  </si>
  <si>
    <t>190</t>
  </si>
  <si>
    <t>220</t>
  </si>
  <si>
    <t>240</t>
  </si>
  <si>
    <t>260</t>
  </si>
  <si>
    <t>280</t>
  </si>
  <si>
    <t>285</t>
  </si>
  <si>
    <t>290</t>
  </si>
  <si>
    <t>295</t>
  </si>
  <si>
    <t>320</t>
  </si>
  <si>
    <t>340</t>
  </si>
  <si>
    <t>360</t>
  </si>
  <si>
    <t>P1</t>
  </si>
  <si>
    <t>380</t>
  </si>
  <si>
    <t>D1</t>
  </si>
  <si>
    <t>400</t>
  </si>
  <si>
    <t>1ST REL_ET</t>
  </si>
  <si>
    <t>420</t>
  </si>
  <si>
    <t>THICK RF TRIM</t>
  </si>
  <si>
    <t>440</t>
  </si>
  <si>
    <t>PS</t>
  </si>
  <si>
    <t>450</t>
  </si>
  <si>
    <t>460</t>
  </si>
  <si>
    <t>E-LOT REL_ET</t>
  </si>
  <si>
    <t>480</t>
  </si>
  <si>
    <t>E-LOT RF TRIM</t>
  </si>
  <si>
    <t>500</t>
  </si>
  <si>
    <t>520</t>
  </si>
  <si>
    <t>530</t>
  </si>
  <si>
    <t>2nd REL_ET</t>
  </si>
  <si>
    <t>540</t>
  </si>
  <si>
    <t>560</t>
  </si>
  <si>
    <t>580</t>
  </si>
  <si>
    <t>900</t>
  </si>
  <si>
    <t>V6.4.1更新内容</t>
  </si>
  <si>
    <t>1、取消D1及厚片Rls，厚片Trim</t>
  </si>
  <si>
    <t>2、取消E lot厚片3次Trim，统一到薄片Trim</t>
  </si>
  <si>
    <t>3、S1/B1，V1-SiO2蚀刻绑定机台从AICP更改为ACVD</t>
  </si>
  <si>
    <t>4、rls etch修改为薄片制程，包括边缘目检-翘曲度测试-rls-AEI检测，翘曲度增加EDC收集</t>
  </si>
  <si>
    <t>5、RF Trim改成薄片制程，每一次Trim前增加外观目检站点</t>
  </si>
  <si>
    <t>6、每一次RF量测增加EDC数据收集，方便后续SPC管控</t>
  </si>
  <si>
    <t>1、UVM1 layer简写UM，来match recipe命名规则，建议后续不要按照此规则命名，可以用现有未使用的字母来命名，或者两个字母组合，不然可能带来recipe名称重复；</t>
  </si>
  <si>
    <t>2、P1 layer目前用在Pad layer简写中，暂定修改为PS layer；</t>
  </si>
  <si>
    <t>3、Trim之后不需要量测CD，步骤取消</t>
  </si>
  <si>
    <t>4、UVM1 Trim photo CD修改为量测BCD；</t>
  </si>
  <si>
    <t>5、PreM2 layer recipe命名简写为PM，PreM3目前只能简写为P3，更Pad-P1容易混淆，建议后面超过两个字的字母不要重复，或者数字区分；</t>
  </si>
  <si>
    <t>V6.4.2更新内容</t>
  </si>
  <si>
    <t>1、更新Q-time ID命名方式，更新Q-time管控时间；</t>
  </si>
  <si>
    <t>V6.4.3更新内容</t>
  </si>
  <si>
    <t>1、更新返工路径ETD_PRRE0002/ETD_PRRE0003下recipe为ASH-085-005M</t>
  </si>
  <si>
    <t>V6.4.4更新内容</t>
  </si>
  <si>
    <t>1、更新返工路径ETD_WTRE0001下recipe及设备号为NA</t>
  </si>
  <si>
    <t>2、步骤号320060下返回工步号从320020更改为320040</t>
  </si>
  <si>
    <t>V6.5.1更新内容</t>
  </si>
  <si>
    <t>1、更新BUG---F1选择Trimming时，删除返工F1 etch</t>
  </si>
  <si>
    <t>2、Grind从委外Flow替换为厂内Flow，原有委外减薄步骤号暂不替换，减薄步骤号从520160至520260</t>
  </si>
  <si>
    <t>3、S1 etch返工流程返工设备号由AICP更改为ACVD</t>
  </si>
  <si>
    <t>4、PRE_M2（Wet PR strip）对应recipe更改：WETPR-REMOM2</t>
  </si>
  <si>
    <t>5、减薄后有量测薄片翘曲，在release 步骤中将之前的翘曲量测取消（工部号：530040  删除），另将减薄工序 采集EDC补上：ETD_ET_250WARP_S5</t>
  </si>
  <si>
    <t>6、减薄后的厚度量测增加EDC参数集ID：ETD_TF_250THK_HMT</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</si>
</sst>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32">
    <font>
      <sz val="11"/>
      <color theme="1"/>
      <name val="等线"/>
      <charset val="134"/>
      <scheme val="minor"/>
    </font>
    <font>
      <sz val="11"/>
      <color theme="1"/>
      <name val="宋体"/>
      <charset val="134"/>
    </font>
    <font>
      <sz val="11"/>
      <color rgb="FFFF0000"/>
      <name val="等线"/>
      <charset val="134"/>
      <scheme val="minor"/>
    </font>
    <font>
      <b/>
      <i/>
      <sz val="20"/>
      <name val="宋体"/>
      <charset val="134"/>
    </font>
    <font>
      <sz val="12"/>
      <color rgb="FFFF0000"/>
      <name val="等线"/>
      <charset val="134"/>
      <scheme val="minor"/>
    </font>
    <font>
      <sz val="12"/>
      <name val="Arial"/>
      <charset val="0"/>
    </font>
    <font>
      <sz val="12"/>
      <color rgb="FFFF0000"/>
      <name val="宋体"/>
      <charset val="134"/>
    </font>
    <font>
      <b/>
      <sz val="12"/>
      <name val="Arial"/>
      <charset val="0"/>
    </font>
    <font>
      <sz val="11"/>
      <color rgb="FFFF0000"/>
      <name val="宋体"/>
      <charset val="134"/>
    </font>
    <font>
      <sz val="11"/>
      <name val="宋体"/>
      <charset val="134"/>
    </font>
    <font>
      <b/>
      <sz val="12"/>
      <name val="宋体"/>
      <charset val="134"/>
    </font>
    <font>
      <b/>
      <sz val="12"/>
      <color rgb="FFFF0000"/>
      <name val="Arial"/>
      <charset val="0"/>
    </font>
    <font>
      <b/>
      <sz val="12"/>
      <color rgb="FFFF0000"/>
      <name val="宋体"/>
      <charset val="134"/>
    </font>
    <font>
      <b/>
      <i/>
      <sz val="20"/>
      <color theme="1"/>
      <name val="等线"/>
      <charset val="134"/>
      <scheme val="minor"/>
    </font>
    <font>
      <sz val="11"/>
      <name val="等线"/>
      <charset val="134"/>
      <scheme val="minor"/>
    </font>
    <font>
      <u/>
      <sz val="11"/>
      <color rgb="FF800080"/>
      <name val="等线"/>
      <charset val="134"/>
      <scheme val="minor"/>
    </font>
    <font>
      <u/>
      <sz val="11"/>
      <color rgb="FF0000FF"/>
      <name val="等线"/>
      <charset val="134"/>
      <scheme val="minor"/>
    </font>
    <font>
      <sz val="11"/>
      <color theme="0"/>
      <name val="等线"/>
      <charset val="134"/>
      <scheme val="minor"/>
    </font>
    <font>
      <b/>
      <sz val="15"/>
      <color theme="3"/>
      <name val="等线"/>
      <charset val="134"/>
      <scheme val="minor"/>
    </font>
    <font>
      <b/>
      <sz val="11"/>
      <color rgb="FF3F3F3F"/>
      <name val="等线"/>
      <charset val="134"/>
      <scheme val="minor"/>
    </font>
    <font>
      <sz val="18"/>
      <color theme="3"/>
      <name val="等线 Light"/>
      <charset val="134"/>
      <scheme val="major"/>
    </font>
    <font>
      <sz val="11"/>
      <color rgb="FF3F3F76"/>
      <name val="等线"/>
      <charset val="134"/>
      <scheme val="minor"/>
    </font>
    <font>
      <sz val="11"/>
      <color rgb="FF9C0006"/>
      <name val="等线"/>
      <charset val="134"/>
      <scheme val="minor"/>
    </font>
    <font>
      <b/>
      <sz val="13"/>
      <color theme="3"/>
      <name val="等线"/>
      <charset val="134"/>
      <scheme val="minor"/>
    </font>
    <font>
      <b/>
      <sz val="11"/>
      <color theme="3"/>
      <name val="等线"/>
      <charset val="134"/>
      <scheme val="minor"/>
    </font>
    <font>
      <i/>
      <sz val="11"/>
      <color rgb="FF7F7F7F"/>
      <name val="等线"/>
      <charset val="134"/>
      <scheme val="minor"/>
    </font>
    <font>
      <sz val="11"/>
      <color rgb="FFFA7D00"/>
      <name val="等线"/>
      <charset val="134"/>
      <scheme val="minor"/>
    </font>
    <font>
      <b/>
      <sz val="11"/>
      <color rgb="FFFA7D00"/>
      <name val="等线"/>
      <charset val="134"/>
      <scheme val="minor"/>
    </font>
    <font>
      <b/>
      <sz val="11"/>
      <color theme="1"/>
      <name val="等线"/>
      <charset val="134"/>
      <scheme val="minor"/>
    </font>
    <font>
      <b/>
      <sz val="11"/>
      <color theme="0"/>
      <name val="等线"/>
      <charset val="134"/>
      <scheme val="minor"/>
    </font>
    <font>
      <sz val="11"/>
      <color rgb="FF9C6500"/>
      <name val="等线"/>
      <charset val="134"/>
      <scheme val="minor"/>
    </font>
    <font>
      <sz val="11"/>
      <color rgb="FF006100"/>
      <name val="等线"/>
      <charset val="134"/>
      <scheme val="minor"/>
    </font>
  </fonts>
  <fills count="5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4"/>
        <bgColor indexed="64"/>
      </patternFill>
    </fill>
    <fill>
      <patternFill patternType="solid">
        <fgColor theme="4" tint="0.8"/>
        <bgColor indexed="64"/>
      </patternFill>
    </fill>
    <fill>
      <patternFill patternType="solid">
        <fgColor theme="5" tint="0.8"/>
        <bgColor indexed="64"/>
      </patternFill>
    </fill>
    <fill>
      <patternFill patternType="solid">
        <fgColor theme="7" tint="0.8"/>
        <bgColor indexed="64"/>
      </patternFill>
    </fill>
    <fill>
      <patternFill patternType="solid">
        <fgColor theme="9" tint="0.8"/>
        <bgColor indexed="64"/>
      </patternFill>
    </fill>
    <fill>
      <patternFill patternType="solid">
        <fgColor rgb="FFF48585"/>
        <bgColor indexed="64"/>
      </patternFill>
    </fill>
    <fill>
      <patternFill patternType="solid">
        <fgColor rgb="FFFF9999"/>
        <bgColor indexed="64"/>
      </patternFill>
    </fill>
    <fill>
      <patternFill patternType="solid">
        <fgColor theme="7" tint="0.6"/>
        <bgColor indexed="64"/>
      </patternFill>
    </fill>
    <fill>
      <patternFill patternType="solid">
        <fgColor theme="9" tint="0.6"/>
        <bgColor indexed="64"/>
      </patternFill>
    </fill>
    <fill>
      <patternFill patternType="solid">
        <fgColor theme="4" tint="0.6"/>
        <bgColor indexed="64"/>
      </patternFill>
    </fill>
    <fill>
      <patternFill patternType="solid">
        <fgColor theme="4" tint="0.4"/>
        <bgColor indexed="64"/>
      </patternFill>
    </fill>
    <fill>
      <patternFill patternType="solid">
        <fgColor theme="0" tint="-0.149998474074526"/>
        <bgColor indexed="64"/>
      </patternFill>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
      <patternFill patternType="solid">
        <fgColor theme="0" tint="-0.35"/>
        <bgColor indexed="64"/>
      </patternFill>
    </fill>
    <fill>
      <patternFill patternType="solid">
        <fgColor rgb="FFBFBFBF"/>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rgb="FFF2F2F2"/>
        <bgColor indexed="64"/>
      </patternFill>
    </fill>
    <fill>
      <patternFill patternType="solid">
        <fgColor theme="9"/>
        <bgColor indexed="64"/>
      </patternFill>
    </fill>
    <fill>
      <patternFill patternType="solid">
        <fgColor theme="7" tint="0.799981688894314"/>
        <bgColor indexed="64"/>
      </patternFill>
    </fill>
    <fill>
      <patternFill patternType="solid">
        <fgColor theme="7"/>
        <bgColor indexed="64"/>
      </patternFill>
    </fill>
    <fill>
      <patternFill patternType="solid">
        <fgColor theme="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rgb="FFA5A5A5"/>
        <bgColor indexed="64"/>
      </patternFill>
    </fill>
    <fill>
      <patternFill patternType="solid">
        <fgColor theme="8"/>
        <bgColor indexed="64"/>
      </patternFill>
    </fill>
    <fill>
      <patternFill patternType="solid">
        <fgColor theme="7" tint="0.599993896298105"/>
        <bgColor indexed="64"/>
      </patternFill>
    </fill>
    <fill>
      <patternFill patternType="solid">
        <fgColor rgb="FFFFEB9C"/>
        <bgColor indexed="64"/>
      </patternFill>
    </fill>
    <fill>
      <patternFill patternType="solid">
        <fgColor rgb="FFC6EFCE"/>
        <bgColor indexed="64"/>
      </patternFill>
    </fill>
    <fill>
      <patternFill patternType="solid">
        <fgColor theme="6"/>
        <bgColor indexed="64"/>
      </patternFill>
    </fill>
    <fill>
      <patternFill patternType="solid">
        <fgColor theme="4" tint="0.599993896298105"/>
        <bgColor indexed="64"/>
      </patternFill>
    </fill>
    <fill>
      <patternFill patternType="solid">
        <fgColor theme="4" tint="0.799981688894314"/>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right/>
      <top/>
      <bottom style="medium">
        <color theme="4" tint="0.399975585192419"/>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0" fillId="31" borderId="0" applyNumberFormat="0" applyBorder="0" applyAlignment="0" applyProtection="0">
      <alignment vertical="center"/>
    </xf>
    <xf numFmtId="0" fontId="21" fillId="32"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22" borderId="0" applyNumberFormat="0" applyBorder="0" applyAlignment="0" applyProtection="0">
      <alignment vertical="center"/>
    </xf>
    <xf numFmtId="0" fontId="22" fillId="34" borderId="0" applyNumberFormat="0" applyBorder="0" applyAlignment="0" applyProtection="0">
      <alignment vertical="center"/>
    </xf>
    <xf numFmtId="43" fontId="0" fillId="0" borderId="0" applyFont="0" applyFill="0" applyBorder="0" applyAlignment="0" applyProtection="0">
      <alignment vertical="center"/>
    </xf>
    <xf numFmtId="0" fontId="17" fillId="38"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39" borderId="26" applyNumberFormat="0" applyFont="0" applyAlignment="0" applyProtection="0">
      <alignment vertical="center"/>
    </xf>
    <xf numFmtId="0" fontId="17" fillId="41" borderId="0" applyNumberFormat="0" applyBorder="0" applyAlignment="0" applyProtection="0">
      <alignment vertical="center"/>
    </xf>
    <xf numFmtId="0" fontId="2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8" fillId="0" borderId="21" applyNumberFormat="0" applyFill="0" applyAlignment="0" applyProtection="0">
      <alignment vertical="center"/>
    </xf>
    <xf numFmtId="0" fontId="23" fillId="0" borderId="24" applyNumberFormat="0" applyFill="0" applyAlignment="0" applyProtection="0">
      <alignment vertical="center"/>
    </xf>
    <xf numFmtId="0" fontId="17" fillId="42" borderId="0" applyNumberFormat="0" applyBorder="0" applyAlignment="0" applyProtection="0">
      <alignment vertical="center"/>
    </xf>
    <xf numFmtId="0" fontId="24" fillId="0" borderId="25" applyNumberFormat="0" applyFill="0" applyAlignment="0" applyProtection="0">
      <alignment vertical="center"/>
    </xf>
    <xf numFmtId="0" fontId="17" fillId="37" borderId="0" applyNumberFormat="0" applyBorder="0" applyAlignment="0" applyProtection="0">
      <alignment vertical="center"/>
    </xf>
    <xf numFmtId="0" fontId="19" fillId="25" borderId="22" applyNumberFormat="0" applyAlignment="0" applyProtection="0">
      <alignment vertical="center"/>
    </xf>
    <xf numFmtId="0" fontId="27" fillId="25" borderId="23" applyNumberFormat="0" applyAlignment="0" applyProtection="0">
      <alignment vertical="center"/>
    </xf>
    <xf numFmtId="0" fontId="29" fillId="44" borderId="29" applyNumberFormat="0" applyAlignment="0" applyProtection="0">
      <alignment vertical="center"/>
    </xf>
    <xf numFmtId="0" fontId="0" fillId="30" borderId="0" applyNumberFormat="0" applyBorder="0" applyAlignment="0" applyProtection="0">
      <alignment vertical="center"/>
    </xf>
    <xf numFmtId="0" fontId="17" fillId="36" borderId="0" applyNumberFormat="0" applyBorder="0" applyAlignment="0" applyProtection="0">
      <alignment vertical="center"/>
    </xf>
    <xf numFmtId="0" fontId="26" fillId="0" borderId="27" applyNumberFormat="0" applyFill="0" applyAlignment="0" applyProtection="0">
      <alignment vertical="center"/>
    </xf>
    <xf numFmtId="0" fontId="28" fillId="0" borderId="28" applyNumberFormat="0" applyFill="0" applyAlignment="0" applyProtection="0">
      <alignment vertical="center"/>
    </xf>
    <xf numFmtId="0" fontId="31" fillId="48" borderId="0" applyNumberFormat="0" applyBorder="0" applyAlignment="0" applyProtection="0">
      <alignment vertical="center"/>
    </xf>
    <xf numFmtId="0" fontId="30" fillId="47" borderId="0" applyNumberFormat="0" applyBorder="0" applyAlignment="0" applyProtection="0">
      <alignment vertical="center"/>
    </xf>
    <xf numFmtId="0" fontId="0" fillId="21" borderId="0" applyNumberFormat="0" applyBorder="0" applyAlignment="0" applyProtection="0">
      <alignment vertical="center"/>
    </xf>
    <xf numFmtId="0" fontId="17" fillId="2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0" borderId="0" applyNumberFormat="0" applyBorder="0" applyAlignment="0" applyProtection="0">
      <alignment vertical="center"/>
    </xf>
    <xf numFmtId="0" fontId="0" fillId="35" borderId="0" applyNumberFormat="0" applyBorder="0" applyAlignment="0" applyProtection="0">
      <alignment vertical="center"/>
    </xf>
    <xf numFmtId="0" fontId="17" fillId="49" borderId="0" applyNumberFormat="0" applyBorder="0" applyAlignment="0" applyProtection="0">
      <alignment vertical="center"/>
    </xf>
    <xf numFmtId="0" fontId="17" fillId="28" borderId="0" applyNumberFormat="0" applyBorder="0" applyAlignment="0" applyProtection="0">
      <alignment vertical="center"/>
    </xf>
    <xf numFmtId="0" fontId="0" fillId="27" borderId="0" applyNumberFormat="0" applyBorder="0" applyAlignment="0" applyProtection="0">
      <alignment vertical="center"/>
    </xf>
    <xf numFmtId="0" fontId="0" fillId="46" borderId="0" applyNumberFormat="0" applyBorder="0" applyAlignment="0" applyProtection="0">
      <alignment vertical="center"/>
    </xf>
    <xf numFmtId="0" fontId="17" fillId="45" borderId="0" applyNumberFormat="0" applyBorder="0" applyAlignment="0" applyProtection="0">
      <alignment vertical="center"/>
    </xf>
    <xf numFmtId="0" fontId="0" fillId="43" borderId="0" applyNumberFormat="0" applyBorder="0" applyAlignment="0" applyProtection="0">
      <alignment vertical="center"/>
    </xf>
    <xf numFmtId="0" fontId="17" fillId="23" borderId="0" applyNumberFormat="0" applyBorder="0" applyAlignment="0" applyProtection="0">
      <alignment vertical="center"/>
    </xf>
    <xf numFmtId="0" fontId="17" fillId="26" borderId="0" applyNumberFormat="0" applyBorder="0" applyAlignment="0" applyProtection="0">
      <alignment vertical="center"/>
    </xf>
    <xf numFmtId="0" fontId="0" fillId="24" borderId="0" applyNumberFormat="0" applyBorder="0" applyAlignment="0" applyProtection="0">
      <alignment vertical="center"/>
    </xf>
    <xf numFmtId="0" fontId="17" fillId="33" borderId="0" applyNumberFormat="0" applyBorder="0" applyAlignment="0" applyProtection="0">
      <alignment vertical="center"/>
    </xf>
  </cellStyleXfs>
  <cellXfs count="276">
    <xf numFmtId="0" fontId="0" fillId="0" borderId="0" xfId="0">
      <alignment vertical="center"/>
    </xf>
    <xf numFmtId="0" fontId="0" fillId="2" borderId="0" xfId="0" applyFill="1">
      <alignment vertical="center"/>
    </xf>
    <xf numFmtId="0" fontId="0" fillId="0" borderId="1" xfId="0" applyBorder="1">
      <alignment vertical="center"/>
    </xf>
    <xf numFmtId="49" fontId="0" fillId="0" borderId="1" xfId="0" applyNumberFormat="1" applyBorder="1">
      <alignment vertical="center"/>
    </xf>
    <xf numFmtId="0" fontId="0" fillId="3" borderId="1" xfId="0" applyFill="1" applyBorder="1">
      <alignment vertical="center"/>
    </xf>
    <xf numFmtId="49" fontId="0" fillId="3" borderId="1" xfId="0" applyNumberFormat="1" applyFill="1" applyBorder="1">
      <alignment vertical="center"/>
    </xf>
    <xf numFmtId="0" fontId="0" fillId="4" borderId="1" xfId="0" applyFill="1" applyBorder="1">
      <alignment vertical="center"/>
    </xf>
    <xf numFmtId="49" fontId="0" fillId="4" borderId="1" xfId="0" applyNumberFormat="1" applyFill="1" applyBorder="1">
      <alignment vertical="center"/>
    </xf>
    <xf numFmtId="0" fontId="1" fillId="0" borderId="0" xfId="0" applyFont="1">
      <alignment vertical="center"/>
    </xf>
    <xf numFmtId="0" fontId="1" fillId="5" borderId="0" xfId="0" applyFont="1" applyFill="1">
      <alignment vertical="center"/>
    </xf>
    <xf numFmtId="0" fontId="1" fillId="6" borderId="0" xfId="0" applyFont="1" applyFill="1">
      <alignment vertical="center"/>
    </xf>
    <xf numFmtId="0" fontId="1" fillId="7" borderId="0" xfId="0" applyFont="1" applyFill="1">
      <alignment vertical="center"/>
    </xf>
    <xf numFmtId="0" fontId="1" fillId="8" borderId="0" xfId="0" applyFont="1" applyFill="1">
      <alignment vertical="center"/>
    </xf>
    <xf numFmtId="0" fontId="1" fillId="9" borderId="0" xfId="0" applyFont="1" applyFill="1">
      <alignment vertical="center"/>
    </xf>
    <xf numFmtId="0" fontId="1" fillId="10" borderId="0" xfId="0" applyFont="1" applyFill="1">
      <alignment vertical="center"/>
    </xf>
    <xf numFmtId="0" fontId="1" fillId="6" borderId="0" xfId="0" applyFont="1" applyFill="1" applyProtection="1">
      <alignment vertical="center"/>
    </xf>
    <xf numFmtId="0" fontId="1" fillId="11" borderId="0" xfId="0" applyFont="1" applyFill="1">
      <alignment vertical="center"/>
    </xf>
    <xf numFmtId="0" fontId="1" fillId="12" borderId="0" xfId="0" applyFont="1" applyFill="1">
      <alignment vertical="center"/>
    </xf>
    <xf numFmtId="0" fontId="1" fillId="13" borderId="0" xfId="0" applyFont="1" applyFill="1">
      <alignment vertical="center"/>
    </xf>
    <xf numFmtId="0" fontId="1" fillId="14" borderId="0" xfId="0" applyFont="1" applyFill="1">
      <alignment vertical="center"/>
    </xf>
    <xf numFmtId="0" fontId="1" fillId="0" borderId="0" xfId="0" applyFont="1" applyFill="1">
      <alignment vertical="center"/>
    </xf>
    <xf numFmtId="49" fontId="0" fillId="0" borderId="0" xfId="0" applyNumberFormat="1">
      <alignment vertical="center"/>
    </xf>
    <xf numFmtId="0" fontId="0" fillId="0" borderId="0" xfId="0" applyNumberFormat="1">
      <alignment vertical="center"/>
    </xf>
    <xf numFmtId="0" fontId="2" fillId="0" borderId="0" xfId="0" applyFont="1">
      <alignment vertical="center"/>
    </xf>
    <xf numFmtId="0" fontId="2" fillId="0" borderId="0" xfId="0" applyFont="1" applyAlignment="1">
      <alignment horizontal="left" vertical="center"/>
    </xf>
    <xf numFmtId="0" fontId="3" fillId="0" borderId="0" xfId="0" applyNumberFormat="1" applyFont="1" applyFill="1" applyBorder="1" applyAlignment="1">
      <alignment horizontal="center" vertical="center"/>
    </xf>
    <xf numFmtId="0" fontId="0" fillId="0" borderId="0" xfId="0" applyNumberFormat="1" applyFont="1" applyFill="1" applyBorder="1" applyAlignment="1"/>
    <xf numFmtId="49" fontId="4" fillId="15" borderId="1" xfId="0" applyNumberFormat="1" applyFont="1" applyFill="1" applyBorder="1" applyAlignment="1">
      <alignment horizontal="left" vertical="center"/>
    </xf>
    <xf numFmtId="0" fontId="5" fillId="0" borderId="1" xfId="0" applyNumberFormat="1" applyFont="1" applyFill="1" applyBorder="1" applyAlignment="1">
      <alignment horizontal="left" vertical="center"/>
    </xf>
    <xf numFmtId="0" fontId="6" fillId="15" borderId="1" xfId="0" applyNumberFormat="1" applyFont="1" applyFill="1" applyBorder="1" applyAlignment="1">
      <alignment horizontal="left" vertical="center"/>
    </xf>
    <xf numFmtId="0" fontId="5" fillId="0" borderId="1" xfId="0" applyNumberFormat="1" applyFont="1" applyFill="1" applyBorder="1" applyAlignment="1">
      <alignment horizontal="left" vertical="center" wrapText="1"/>
    </xf>
    <xf numFmtId="0" fontId="7" fillId="0" borderId="0" xfId="0" applyNumberFormat="1" applyFont="1" applyFill="1" applyBorder="1" applyAlignment="1"/>
    <xf numFmtId="49" fontId="0" fillId="0" borderId="0" xfId="0" applyNumberFormat="1" applyFont="1" applyFill="1" applyBorder="1" applyAlignment="1"/>
    <xf numFmtId="0" fontId="8" fillId="15" borderId="2" xfId="0" applyNumberFormat="1" applyFont="1" applyFill="1" applyBorder="1" applyAlignment="1" applyProtection="1">
      <alignment vertical="center"/>
    </xf>
    <xf numFmtId="49" fontId="8" fillId="15" borderId="2" xfId="0" applyNumberFormat="1" applyFont="1" applyFill="1" applyBorder="1" applyAlignment="1" applyProtection="1">
      <alignment vertical="center"/>
    </xf>
    <xf numFmtId="0" fontId="9" fillId="15" borderId="2" xfId="0" applyNumberFormat="1" applyFont="1" applyFill="1" applyBorder="1" applyAlignment="1" applyProtection="1">
      <alignment vertical="center"/>
    </xf>
    <xf numFmtId="0" fontId="9" fillId="16" borderId="1" xfId="0" applyFont="1" applyFill="1" applyBorder="1" applyAlignment="1" applyProtection="1">
      <alignment horizontal="left" vertical="top"/>
    </xf>
    <xf numFmtId="49" fontId="1" fillId="0" borderId="2" xfId="0" applyNumberFormat="1" applyFont="1" applyBorder="1" applyAlignment="1" applyProtection="1">
      <alignment vertical="center"/>
    </xf>
    <xf numFmtId="49" fontId="9" fillId="0" borderId="2" xfId="0" applyNumberFormat="1" applyFont="1" applyFill="1" applyBorder="1" applyAlignment="1" applyProtection="1">
      <alignment vertical="center"/>
    </xf>
    <xf numFmtId="0" fontId="1" fillId="0" borderId="2" xfId="0" applyNumberFormat="1" applyFont="1" applyFill="1" applyBorder="1" applyAlignment="1" applyProtection="1">
      <alignment vertical="center"/>
    </xf>
    <xf numFmtId="0" fontId="0" fillId="0" borderId="2" xfId="0" applyNumberFormat="1" applyFont="1" applyFill="1" applyBorder="1" applyAlignment="1" applyProtection="1">
      <alignment vertical="center"/>
    </xf>
    <xf numFmtId="49" fontId="1" fillId="0" borderId="2" xfId="0" applyNumberFormat="1" applyFont="1" applyFill="1" applyBorder="1" applyAlignment="1" applyProtection="1">
      <alignment vertical="center"/>
    </xf>
    <xf numFmtId="0" fontId="9" fillId="5" borderId="1" xfId="0" applyFont="1" applyFill="1" applyBorder="1" applyAlignment="1" applyProtection="1">
      <alignment horizontal="left" vertical="top"/>
    </xf>
    <xf numFmtId="49" fontId="1" fillId="5" borderId="2" xfId="0" applyNumberFormat="1" applyFont="1" applyFill="1" applyBorder="1" applyAlignment="1" applyProtection="1">
      <alignment vertical="center"/>
    </xf>
    <xf numFmtId="0" fontId="1" fillId="5" borderId="2" xfId="0" applyNumberFormat="1" applyFont="1" applyFill="1" applyBorder="1" applyAlignment="1" applyProtection="1">
      <alignment vertical="center"/>
    </xf>
    <xf numFmtId="0" fontId="0" fillId="5" borderId="2" xfId="0" applyNumberFormat="1" applyFont="1" applyFill="1" applyBorder="1" applyAlignment="1" applyProtection="1">
      <alignment vertical="center"/>
    </xf>
    <xf numFmtId="0" fontId="9" fillId="6" borderId="1" xfId="0" applyFont="1" applyFill="1" applyBorder="1" applyAlignment="1" applyProtection="1">
      <alignment horizontal="left" vertical="top"/>
    </xf>
    <xf numFmtId="49" fontId="1" fillId="6" borderId="2" xfId="0" applyNumberFormat="1" applyFont="1" applyFill="1" applyBorder="1" applyAlignment="1" applyProtection="1">
      <alignment vertical="center"/>
    </xf>
    <xf numFmtId="0" fontId="1" fillId="6" borderId="2" xfId="0" applyNumberFormat="1" applyFont="1" applyFill="1" applyBorder="1" applyAlignment="1" applyProtection="1">
      <alignment vertical="center"/>
    </xf>
    <xf numFmtId="0" fontId="0" fillId="6" borderId="2" xfId="0" applyNumberFormat="1" applyFont="1" applyFill="1" applyBorder="1" applyAlignment="1" applyProtection="1">
      <alignment vertical="center"/>
    </xf>
    <xf numFmtId="0" fontId="9" fillId="7" borderId="1" xfId="0" applyFont="1" applyFill="1" applyBorder="1" applyAlignment="1" applyProtection="1">
      <alignment horizontal="left" vertical="top"/>
    </xf>
    <xf numFmtId="49" fontId="1" fillId="7" borderId="2" xfId="0" applyNumberFormat="1" applyFont="1" applyFill="1" applyBorder="1" applyAlignment="1" applyProtection="1">
      <alignment vertical="center"/>
    </xf>
    <xf numFmtId="0" fontId="1" fillId="7" borderId="2" xfId="0" applyNumberFormat="1" applyFont="1" applyFill="1" applyBorder="1" applyAlignment="1" applyProtection="1">
      <alignment vertical="center"/>
    </xf>
    <xf numFmtId="0" fontId="0" fillId="7" borderId="2" xfId="0" applyNumberFormat="1" applyFont="1" applyFill="1" applyBorder="1" applyAlignment="1" applyProtection="1">
      <alignment vertical="center"/>
    </xf>
    <xf numFmtId="9" fontId="1" fillId="7" borderId="2" xfId="11" applyNumberFormat="1" applyFont="1" applyFill="1" applyBorder="1" applyAlignment="1" applyProtection="1">
      <alignment vertical="center"/>
    </xf>
    <xf numFmtId="0" fontId="0" fillId="0" borderId="0" xfId="0" applyAlignment="1"/>
    <xf numFmtId="49" fontId="0" fillId="0" borderId="0" xfId="0" applyNumberFormat="1" applyAlignment="1"/>
    <xf numFmtId="0" fontId="2" fillId="0" borderId="0" xfId="0" applyFont="1" applyAlignment="1"/>
    <xf numFmtId="0" fontId="2" fillId="0" borderId="0" xfId="0" applyFont="1" applyAlignment="1">
      <alignment horizontal="left"/>
    </xf>
    <xf numFmtId="0" fontId="10" fillId="0" borderId="0" xfId="0" applyNumberFormat="1" applyFont="1" applyFill="1" applyBorder="1" applyAlignment="1"/>
    <xf numFmtId="0" fontId="7" fillId="0" borderId="0" xfId="0" applyNumberFormat="1" applyFont="1" applyFill="1" applyBorder="1" applyAlignment="1">
      <alignment horizontal="center"/>
    </xf>
    <xf numFmtId="49" fontId="7" fillId="0" borderId="0" xfId="0" applyNumberFormat="1" applyFont="1" applyFill="1" applyBorder="1" applyAlignment="1">
      <alignment horizontal="center"/>
    </xf>
    <xf numFmtId="0" fontId="11" fillId="0" borderId="0" xfId="0" applyNumberFormat="1" applyFont="1" applyFill="1" applyBorder="1" applyAlignment="1"/>
    <xf numFmtId="0" fontId="11" fillId="0" borderId="0" xfId="0" applyNumberFormat="1" applyFont="1" applyFill="1" applyBorder="1" applyAlignment="1">
      <alignment horizontal="left"/>
    </xf>
    <xf numFmtId="0" fontId="2" fillId="0" borderId="0" xfId="0" applyNumberFormat="1" applyFont="1" applyFill="1" applyBorder="1" applyAlignment="1"/>
    <xf numFmtId="0" fontId="2" fillId="0" borderId="0" xfId="0" applyNumberFormat="1" applyFont="1" applyFill="1" applyBorder="1" applyAlignment="1">
      <alignment horizontal="left"/>
    </xf>
    <xf numFmtId="0" fontId="9" fillId="15" borderId="3" xfId="0" applyNumberFormat="1" applyFont="1" applyFill="1" applyBorder="1" applyAlignment="1" applyProtection="1">
      <alignment vertical="center"/>
    </xf>
    <xf numFmtId="49" fontId="9" fillId="15" borderId="2" xfId="0" applyNumberFormat="1" applyFont="1" applyFill="1" applyBorder="1" applyAlignment="1" applyProtection="1">
      <alignment vertical="center"/>
    </xf>
    <xf numFmtId="0" fontId="8" fillId="15" borderId="2" xfId="0" applyNumberFormat="1" applyFont="1" applyFill="1" applyBorder="1" applyAlignment="1" applyProtection="1">
      <alignment horizontal="left" vertical="center"/>
    </xf>
    <xf numFmtId="0" fontId="8" fillId="0" borderId="2" xfId="0" applyNumberFormat="1" applyFont="1" applyFill="1" applyBorder="1" applyAlignment="1" applyProtection="1">
      <alignment vertical="center"/>
    </xf>
    <xf numFmtId="0" fontId="8" fillId="0" borderId="3" xfId="0" applyNumberFormat="1" applyFont="1" applyFill="1" applyBorder="1" applyAlignment="1" applyProtection="1">
      <alignment horizontal="left" vertical="center"/>
    </xf>
    <xf numFmtId="0" fontId="8" fillId="5" borderId="2" xfId="0" applyNumberFormat="1" applyFont="1" applyFill="1" applyBorder="1" applyAlignment="1" applyProtection="1">
      <alignment vertical="center"/>
    </xf>
    <xf numFmtId="0" fontId="8" fillId="5" borderId="3" xfId="0" applyNumberFormat="1" applyFont="1" applyFill="1" applyBorder="1" applyAlignment="1" applyProtection="1">
      <alignment horizontal="left" vertical="center"/>
    </xf>
    <xf numFmtId="0" fontId="0" fillId="5" borderId="1" xfId="0" applyFill="1" applyBorder="1" applyAlignment="1" applyProtection="1">
      <alignment vertical="center"/>
    </xf>
    <xf numFmtId="49" fontId="8" fillId="5" borderId="2" xfId="0" applyNumberFormat="1" applyFont="1" applyFill="1" applyBorder="1" applyAlignment="1" applyProtection="1">
      <alignment horizontal="left" vertical="center"/>
    </xf>
    <xf numFmtId="0" fontId="1" fillId="17" borderId="2" xfId="0" applyNumberFormat="1" applyFont="1" applyFill="1" applyBorder="1" applyAlignment="1" applyProtection="1">
      <alignment vertical="center"/>
    </xf>
    <xf numFmtId="0" fontId="8" fillId="6" borderId="2" xfId="0" applyNumberFormat="1" applyFont="1" applyFill="1" applyBorder="1" applyAlignment="1" applyProtection="1">
      <alignment vertical="center"/>
    </xf>
    <xf numFmtId="0" fontId="8" fillId="6" borderId="3" xfId="0" applyNumberFormat="1" applyFont="1" applyFill="1" applyBorder="1" applyAlignment="1" applyProtection="1">
      <alignment horizontal="left" vertical="center"/>
    </xf>
    <xf numFmtId="49" fontId="8" fillId="6" borderId="2" xfId="0" applyNumberFormat="1" applyFont="1" applyFill="1" applyBorder="1" applyAlignment="1" applyProtection="1">
      <alignment horizontal="left" vertical="center"/>
    </xf>
    <xf numFmtId="0" fontId="8" fillId="7" borderId="2" xfId="0" applyNumberFormat="1" applyFont="1" applyFill="1" applyBorder="1" applyAlignment="1" applyProtection="1">
      <alignment vertical="center"/>
    </xf>
    <xf numFmtId="0" fontId="8" fillId="7" borderId="3" xfId="0" applyNumberFormat="1" applyFont="1" applyFill="1" applyBorder="1" applyAlignment="1" applyProtection="1">
      <alignment horizontal="left" vertical="center"/>
    </xf>
    <xf numFmtId="46" fontId="9" fillId="6" borderId="1" xfId="0" applyNumberFormat="1" applyFont="1" applyFill="1" applyBorder="1" applyAlignment="1" applyProtection="1">
      <alignment horizontal="left" vertical="top"/>
    </xf>
    <xf numFmtId="0" fontId="8" fillId="6" borderId="1" xfId="0" applyFont="1" applyFill="1" applyBorder="1" applyAlignment="1" applyProtection="1">
      <alignment horizontal="left" vertical="top"/>
    </xf>
    <xf numFmtId="0" fontId="9" fillId="17" borderId="1" xfId="0" applyFont="1" applyFill="1" applyBorder="1" applyAlignment="1" applyProtection="1">
      <alignment horizontal="left" vertical="top"/>
    </xf>
    <xf numFmtId="0" fontId="0" fillId="0" borderId="0" xfId="0" applyBorder="1" applyAlignment="1">
      <alignment horizontal="center" vertical="center"/>
    </xf>
    <xf numFmtId="0" fontId="12" fillId="0" borderId="0" xfId="0" applyNumberFormat="1" applyFont="1" applyFill="1" applyBorder="1" applyAlignment="1"/>
    <xf numFmtId="0" fontId="10" fillId="0" borderId="0" xfId="0" applyNumberFormat="1" applyFont="1" applyFill="1" applyBorder="1" applyAlignment="1">
      <alignment horizontal="center" wrapText="1"/>
    </xf>
    <xf numFmtId="0" fontId="9" fillId="15" borderId="4" xfId="0" applyNumberFormat="1" applyFont="1" applyFill="1" applyBorder="1" applyAlignment="1" applyProtection="1">
      <alignment vertical="center"/>
    </xf>
    <xf numFmtId="0" fontId="9" fillId="0" borderId="3" xfId="0" applyFont="1" applyBorder="1" applyAlignment="1" applyProtection="1">
      <alignment vertical="center"/>
    </xf>
    <xf numFmtId="0" fontId="9" fillId="0" borderId="1" xfId="0" applyFont="1" applyBorder="1" applyAlignment="1" applyProtection="1">
      <alignment vertical="center"/>
    </xf>
    <xf numFmtId="0" fontId="1" fillId="0" borderId="1" xfId="0" applyFont="1" applyBorder="1" applyAlignment="1" applyProtection="1"/>
    <xf numFmtId="0" fontId="1" fillId="0" borderId="1" xfId="0" applyNumberFormat="1" applyFont="1" applyFill="1" applyBorder="1" applyAlignment="1" applyProtection="1">
      <alignment vertical="center"/>
    </xf>
    <xf numFmtId="0" fontId="9" fillId="5" borderId="3" xfId="0" applyFont="1" applyFill="1" applyBorder="1" applyAlignment="1" applyProtection="1">
      <alignment vertical="center"/>
    </xf>
    <xf numFmtId="0" fontId="9" fillId="5" borderId="1" xfId="0" applyFont="1" applyFill="1" applyBorder="1" applyAlignment="1" applyProtection="1">
      <alignment vertical="center"/>
    </xf>
    <xf numFmtId="0" fontId="1" fillId="5" borderId="1" xfId="0" applyFont="1" applyFill="1" applyBorder="1" applyAlignment="1" applyProtection="1"/>
    <xf numFmtId="0" fontId="1" fillId="5" borderId="1" xfId="0" applyNumberFormat="1" applyFont="1" applyFill="1" applyBorder="1" applyAlignment="1" applyProtection="1">
      <alignment vertical="center"/>
    </xf>
    <xf numFmtId="0" fontId="9" fillId="6" borderId="3" xfId="0" applyFont="1" applyFill="1" applyBorder="1" applyAlignment="1" applyProtection="1">
      <alignment vertical="center"/>
    </xf>
    <xf numFmtId="0" fontId="9" fillId="6" borderId="1" xfId="0" applyFont="1" applyFill="1" applyBorder="1" applyAlignment="1" applyProtection="1">
      <alignment vertical="center"/>
    </xf>
    <xf numFmtId="0" fontId="1" fillId="6" borderId="1" xfId="0" applyFont="1" applyFill="1" applyBorder="1" applyAlignment="1" applyProtection="1"/>
    <xf numFmtId="0" fontId="1" fillId="6" borderId="1" xfId="0" applyNumberFormat="1" applyFont="1" applyFill="1" applyBorder="1" applyAlignment="1" applyProtection="1">
      <alignment vertical="center"/>
    </xf>
    <xf numFmtId="0" fontId="9" fillId="7" borderId="3" xfId="0" applyFont="1" applyFill="1" applyBorder="1" applyAlignment="1" applyProtection="1">
      <alignment vertical="center"/>
    </xf>
    <xf numFmtId="0" fontId="9" fillId="7" borderId="1" xfId="0" applyFont="1" applyFill="1" applyBorder="1" applyAlignment="1" applyProtection="1">
      <alignment vertical="center"/>
    </xf>
    <xf numFmtId="0" fontId="1" fillId="7" borderId="1" xfId="0" applyFont="1" applyFill="1" applyBorder="1" applyAlignment="1" applyProtection="1"/>
    <xf numFmtId="0" fontId="1" fillId="7" borderId="1" xfId="0" applyNumberFormat="1" applyFont="1" applyFill="1" applyBorder="1" applyAlignment="1" applyProtection="1">
      <alignment vertical="center"/>
    </xf>
    <xf numFmtId="0" fontId="9" fillId="9" borderId="1" xfId="0" applyFont="1" applyFill="1" applyBorder="1" applyAlignment="1" applyProtection="1">
      <alignment horizontal="left" vertical="top"/>
    </xf>
    <xf numFmtId="49" fontId="1" fillId="9" borderId="2" xfId="0" applyNumberFormat="1" applyFont="1" applyFill="1" applyBorder="1" applyAlignment="1" applyProtection="1">
      <alignment vertical="center"/>
    </xf>
    <xf numFmtId="0" fontId="1" fillId="9" borderId="2" xfId="0" applyNumberFormat="1" applyFont="1" applyFill="1" applyBorder="1" applyAlignment="1" applyProtection="1">
      <alignment vertical="center"/>
    </xf>
    <xf numFmtId="0" fontId="0" fillId="9" borderId="2" xfId="0" applyNumberFormat="1" applyFont="1" applyFill="1" applyBorder="1" applyAlignment="1" applyProtection="1">
      <alignment vertical="center"/>
    </xf>
    <xf numFmtId="0" fontId="1" fillId="9" borderId="2" xfId="0" applyNumberFormat="1" applyFont="1" applyFill="1" applyBorder="1" applyAlignment="1" applyProtection="1">
      <alignment horizontal="left" vertical="center"/>
    </xf>
    <xf numFmtId="0" fontId="9" fillId="10" borderId="1" xfId="0" applyFont="1" applyFill="1" applyBorder="1" applyAlignment="1" applyProtection="1">
      <alignment horizontal="left" vertical="top"/>
    </xf>
    <xf numFmtId="49" fontId="1" fillId="10" borderId="2" xfId="0" applyNumberFormat="1" applyFont="1" applyFill="1" applyBorder="1" applyAlignment="1" applyProtection="1">
      <alignment vertical="center"/>
    </xf>
    <xf numFmtId="0" fontId="1" fillId="10" borderId="2" xfId="0" applyNumberFormat="1" applyFont="1" applyFill="1" applyBorder="1" applyAlignment="1" applyProtection="1">
      <alignment vertical="center"/>
    </xf>
    <xf numFmtId="0" fontId="0" fillId="10" borderId="2" xfId="0" applyNumberFormat="1" applyFont="1" applyFill="1" applyBorder="1" applyAlignment="1" applyProtection="1">
      <alignment vertical="center"/>
    </xf>
    <xf numFmtId="49" fontId="8" fillId="5" borderId="2" xfId="0" applyNumberFormat="1" applyFont="1" applyFill="1" applyBorder="1" applyAlignment="1" applyProtection="1">
      <alignment vertical="center"/>
    </xf>
    <xf numFmtId="49" fontId="8" fillId="6" borderId="2" xfId="0" applyNumberFormat="1" applyFont="1" applyFill="1" applyBorder="1" applyAlignment="1" applyProtection="1">
      <alignment vertical="center"/>
    </xf>
    <xf numFmtId="0" fontId="8" fillId="9" borderId="2" xfId="0" applyNumberFormat="1" applyFont="1" applyFill="1" applyBorder="1" applyAlignment="1" applyProtection="1">
      <alignment vertical="center"/>
    </xf>
    <xf numFmtId="0" fontId="8" fillId="9" borderId="3" xfId="0" applyNumberFormat="1" applyFont="1" applyFill="1" applyBorder="1" applyAlignment="1" applyProtection="1">
      <alignment horizontal="left" vertical="center"/>
    </xf>
    <xf numFmtId="49" fontId="8" fillId="9" borderId="2" xfId="0" applyNumberFormat="1" applyFont="1" applyFill="1" applyBorder="1" applyAlignment="1" applyProtection="1">
      <alignment vertical="center"/>
    </xf>
    <xf numFmtId="0" fontId="8" fillId="10" borderId="2" xfId="0" applyNumberFormat="1" applyFont="1" applyFill="1" applyBorder="1" applyAlignment="1" applyProtection="1">
      <alignment vertical="center"/>
    </xf>
    <xf numFmtId="0" fontId="8" fillId="10" borderId="3" xfId="0" applyNumberFormat="1" applyFont="1" applyFill="1" applyBorder="1" applyAlignment="1" applyProtection="1">
      <alignment horizontal="left" vertical="center"/>
    </xf>
    <xf numFmtId="0" fontId="9" fillId="9" borderId="3" xfId="0" applyFont="1" applyFill="1" applyBorder="1" applyAlignment="1" applyProtection="1">
      <alignment vertical="center"/>
    </xf>
    <xf numFmtId="0" fontId="9" fillId="9" borderId="1" xfId="0" applyFont="1" applyFill="1" applyBorder="1" applyAlignment="1" applyProtection="1">
      <alignment vertical="center"/>
    </xf>
    <xf numFmtId="0" fontId="1" fillId="9" borderId="1" xfId="0" applyFont="1" applyFill="1" applyBorder="1" applyAlignment="1" applyProtection="1"/>
    <xf numFmtId="0" fontId="1" fillId="9" borderId="1" xfId="0" applyNumberFormat="1" applyFont="1" applyFill="1" applyBorder="1" applyAlignment="1" applyProtection="1">
      <alignment vertical="center"/>
    </xf>
    <xf numFmtId="0" fontId="9" fillId="10" borderId="3" xfId="0" applyFont="1" applyFill="1" applyBorder="1" applyAlignment="1" applyProtection="1">
      <alignment vertical="center"/>
    </xf>
    <xf numFmtId="0" fontId="9" fillId="10" borderId="1" xfId="0" applyFont="1" applyFill="1" applyBorder="1" applyAlignment="1" applyProtection="1">
      <alignment vertical="center"/>
    </xf>
    <xf numFmtId="0" fontId="1" fillId="10" borderId="1" xfId="0" applyFont="1" applyFill="1" applyBorder="1" applyAlignment="1" applyProtection="1"/>
    <xf numFmtId="0" fontId="1" fillId="10" borderId="1" xfId="0" applyNumberFormat="1" applyFont="1" applyFill="1" applyBorder="1" applyAlignment="1" applyProtection="1">
      <alignment vertical="center"/>
    </xf>
    <xf numFmtId="0" fontId="9" fillId="8" borderId="1" xfId="0" applyFont="1" applyFill="1" applyBorder="1" applyAlignment="1" applyProtection="1">
      <alignment horizontal="left" vertical="top"/>
    </xf>
    <xf numFmtId="49" fontId="1" fillId="8" borderId="2" xfId="0" applyNumberFormat="1" applyFont="1" applyFill="1" applyBorder="1" applyAlignment="1" applyProtection="1">
      <alignment vertical="center"/>
    </xf>
    <xf numFmtId="0" fontId="1" fillId="8" borderId="2" xfId="0" applyNumberFormat="1" applyFont="1" applyFill="1" applyBorder="1" applyAlignment="1" applyProtection="1">
      <alignment vertical="center"/>
    </xf>
    <xf numFmtId="0" fontId="0" fillId="8" borderId="2" xfId="0" applyNumberFormat="1" applyFont="1" applyFill="1" applyBorder="1" applyAlignment="1" applyProtection="1">
      <alignment vertical="center"/>
    </xf>
    <xf numFmtId="0" fontId="8" fillId="8" borderId="2" xfId="0" applyNumberFormat="1" applyFont="1" applyFill="1" applyBorder="1" applyAlignment="1" applyProtection="1">
      <alignment vertical="center"/>
    </xf>
    <xf numFmtId="0" fontId="8" fillId="8" borderId="3" xfId="0" applyNumberFormat="1" applyFont="1" applyFill="1" applyBorder="1" applyAlignment="1" applyProtection="1">
      <alignment horizontal="left" vertical="center"/>
    </xf>
    <xf numFmtId="0" fontId="9" fillId="8" borderId="3" xfId="0" applyFont="1" applyFill="1" applyBorder="1" applyAlignment="1" applyProtection="1">
      <alignment vertical="center"/>
    </xf>
    <xf numFmtId="0" fontId="9" fillId="8" borderId="1" xfId="0" applyFont="1" applyFill="1" applyBorder="1" applyAlignment="1" applyProtection="1">
      <alignment vertical="center"/>
    </xf>
    <xf numFmtId="0" fontId="1" fillId="8" borderId="1" xfId="0" applyFont="1" applyFill="1" applyBorder="1" applyAlignment="1" applyProtection="1"/>
    <xf numFmtId="0" fontId="1" fillId="8" borderId="1" xfId="0" applyNumberFormat="1" applyFont="1" applyFill="1" applyBorder="1" applyAlignment="1" applyProtection="1">
      <alignment vertical="center"/>
    </xf>
    <xf numFmtId="0" fontId="9" fillId="11" borderId="1" xfId="0" applyFont="1" applyFill="1" applyBorder="1" applyAlignment="1" applyProtection="1">
      <alignment horizontal="left" vertical="top"/>
    </xf>
    <xf numFmtId="49" fontId="1" fillId="11" borderId="2" xfId="0" applyNumberFormat="1" applyFont="1" applyFill="1" applyBorder="1" applyAlignment="1" applyProtection="1">
      <alignment vertical="center"/>
    </xf>
    <xf numFmtId="0" fontId="1" fillId="11" borderId="2" xfId="0" applyNumberFormat="1" applyFont="1" applyFill="1" applyBorder="1" applyAlignment="1" applyProtection="1">
      <alignment vertical="center"/>
    </xf>
    <xf numFmtId="0" fontId="0" fillId="11" borderId="2" xfId="0" applyNumberFormat="1" applyFont="1" applyFill="1" applyBorder="1" applyAlignment="1" applyProtection="1">
      <alignment vertical="center"/>
    </xf>
    <xf numFmtId="0" fontId="9" fillId="12" borderId="1" xfId="0" applyFont="1" applyFill="1" applyBorder="1" applyAlignment="1" applyProtection="1">
      <alignment horizontal="left" vertical="top"/>
    </xf>
    <xf numFmtId="49" fontId="1" fillId="12" borderId="2" xfId="0" applyNumberFormat="1" applyFont="1" applyFill="1" applyBorder="1" applyAlignment="1" applyProtection="1">
      <alignment vertical="center"/>
    </xf>
    <xf numFmtId="0" fontId="1" fillId="12" borderId="2" xfId="0" applyNumberFormat="1" applyFont="1" applyFill="1" applyBorder="1" applyAlignment="1" applyProtection="1">
      <alignment vertical="center"/>
    </xf>
    <xf numFmtId="0" fontId="0" fillId="12" borderId="2" xfId="0" applyNumberFormat="1" applyFont="1" applyFill="1" applyBorder="1" applyAlignment="1" applyProtection="1">
      <alignment vertical="center"/>
    </xf>
    <xf numFmtId="0" fontId="9" fillId="13" borderId="1" xfId="0" applyFont="1" applyFill="1" applyBorder="1" applyAlignment="1" applyProtection="1">
      <alignment horizontal="left" vertical="top"/>
    </xf>
    <xf numFmtId="49" fontId="1" fillId="13" borderId="2" xfId="0" applyNumberFormat="1" applyFont="1" applyFill="1" applyBorder="1" applyAlignment="1" applyProtection="1">
      <alignment vertical="center"/>
    </xf>
    <xf numFmtId="0" fontId="1" fillId="13" borderId="2" xfId="0" applyNumberFormat="1" applyFont="1" applyFill="1" applyBorder="1" applyAlignment="1" applyProtection="1">
      <alignment vertical="center"/>
    </xf>
    <xf numFmtId="0" fontId="0" fillId="13" borderId="2" xfId="0" applyNumberFormat="1" applyFont="1" applyFill="1" applyBorder="1" applyAlignment="1" applyProtection="1">
      <alignment vertical="center"/>
    </xf>
    <xf numFmtId="0" fontId="8" fillId="11" borderId="2" xfId="0" applyNumberFormat="1" applyFont="1" applyFill="1" applyBorder="1" applyAlignment="1" applyProtection="1">
      <alignment vertical="center"/>
    </xf>
    <xf numFmtId="0" fontId="8" fillId="11" borderId="3" xfId="0" applyNumberFormat="1" applyFont="1" applyFill="1" applyBorder="1" applyAlignment="1" applyProtection="1">
      <alignment horizontal="left" vertical="center"/>
    </xf>
    <xf numFmtId="0" fontId="8" fillId="12" borderId="2" xfId="0" applyNumberFormat="1" applyFont="1" applyFill="1" applyBorder="1" applyAlignment="1" applyProtection="1">
      <alignment vertical="center"/>
    </xf>
    <xf numFmtId="0" fontId="8" fillId="12" borderId="3" xfId="0" applyNumberFormat="1" applyFont="1" applyFill="1" applyBorder="1" applyAlignment="1" applyProtection="1">
      <alignment horizontal="left" vertical="center"/>
    </xf>
    <xf numFmtId="0" fontId="8" fillId="13" borderId="2" xfId="0" applyNumberFormat="1" applyFont="1" applyFill="1" applyBorder="1" applyAlignment="1" applyProtection="1">
      <alignment vertical="center"/>
    </xf>
    <xf numFmtId="0" fontId="8" fillId="13" borderId="3" xfId="0" applyNumberFormat="1" applyFont="1" applyFill="1" applyBorder="1" applyAlignment="1" applyProtection="1">
      <alignment horizontal="left" vertical="center"/>
    </xf>
    <xf numFmtId="0" fontId="9" fillId="11" borderId="3" xfId="0" applyFont="1" applyFill="1" applyBorder="1" applyAlignment="1" applyProtection="1">
      <alignment vertical="center"/>
    </xf>
    <xf numFmtId="0" fontId="9" fillId="11" borderId="1" xfId="0" applyFont="1" applyFill="1" applyBorder="1" applyAlignment="1" applyProtection="1">
      <alignment vertical="center"/>
    </xf>
    <xf numFmtId="0" fontId="1" fillId="11" borderId="1" xfId="0" applyFont="1" applyFill="1" applyBorder="1" applyAlignment="1" applyProtection="1"/>
    <xf numFmtId="0" fontId="1" fillId="11" borderId="1" xfId="0" applyNumberFormat="1" applyFont="1" applyFill="1" applyBorder="1" applyAlignment="1" applyProtection="1">
      <alignment vertical="center"/>
    </xf>
    <xf numFmtId="0" fontId="9" fillId="12" borderId="3" xfId="0" applyFont="1" applyFill="1" applyBorder="1" applyAlignment="1" applyProtection="1">
      <alignment vertical="center"/>
    </xf>
    <xf numFmtId="0" fontId="9" fillId="12" borderId="1" xfId="0" applyFont="1" applyFill="1" applyBorder="1" applyAlignment="1" applyProtection="1">
      <alignment vertical="center"/>
    </xf>
    <xf numFmtId="0" fontId="1" fillId="12" borderId="1" xfId="0" applyFont="1" applyFill="1" applyBorder="1" applyAlignment="1" applyProtection="1"/>
    <xf numFmtId="0" fontId="1" fillId="12" borderId="1" xfId="0" applyNumberFormat="1" applyFont="1" applyFill="1" applyBorder="1" applyAlignment="1" applyProtection="1">
      <alignment vertical="center"/>
    </xf>
    <xf numFmtId="0" fontId="9" fillId="13" borderId="3" xfId="0" applyFont="1" applyFill="1" applyBorder="1" applyAlignment="1" applyProtection="1">
      <alignment vertical="center"/>
    </xf>
    <xf numFmtId="0" fontId="9" fillId="13" borderId="1" xfId="0" applyFont="1" applyFill="1" applyBorder="1" applyAlignment="1" applyProtection="1">
      <alignment vertical="center"/>
    </xf>
    <xf numFmtId="0" fontId="1" fillId="13" borderId="1" xfId="0" applyFont="1" applyFill="1" applyBorder="1" applyAlignment="1" applyProtection="1"/>
    <xf numFmtId="0" fontId="1" fillId="13" borderId="1" xfId="0" applyNumberFormat="1" applyFont="1" applyFill="1" applyBorder="1" applyAlignment="1" applyProtection="1">
      <alignment vertical="center"/>
    </xf>
    <xf numFmtId="0" fontId="9" fillId="6" borderId="1" xfId="0" applyFont="1" applyFill="1" applyBorder="1" applyAlignment="1" applyProtection="1">
      <alignment horizontal="left" vertical="top"/>
      <protection locked="0"/>
    </xf>
    <xf numFmtId="0" fontId="9" fillId="14" borderId="1" xfId="0" applyFont="1" applyFill="1" applyBorder="1" applyAlignment="1" applyProtection="1">
      <alignment horizontal="left" vertical="top"/>
    </xf>
    <xf numFmtId="49" fontId="1" fillId="14" borderId="2" xfId="0" applyNumberFormat="1" applyFont="1" applyFill="1" applyBorder="1" applyAlignment="1" applyProtection="1">
      <alignment vertical="center"/>
    </xf>
    <xf numFmtId="0" fontId="3" fillId="16" borderId="0" xfId="0" applyFont="1" applyFill="1" applyBorder="1" applyAlignment="1" applyProtection="1">
      <alignment horizontal="center" vertical="center"/>
    </xf>
    <xf numFmtId="0" fontId="13" fillId="0" borderId="0" xfId="0" applyFont="1" applyAlignment="1" applyProtection="1">
      <alignment horizontal="center" vertical="center"/>
    </xf>
    <xf numFmtId="0" fontId="13" fillId="0" borderId="5" xfId="0" applyFont="1" applyBorder="1" applyAlignment="1" applyProtection="1">
      <alignment horizontal="center" vertical="center"/>
    </xf>
    <xf numFmtId="0" fontId="13" fillId="0" borderId="6" xfId="0" applyFont="1" applyBorder="1" applyAlignment="1" applyProtection="1">
      <alignment horizontal="center" vertical="center"/>
    </xf>
    <xf numFmtId="0" fontId="13" fillId="0" borderId="7" xfId="0" applyFont="1" applyBorder="1" applyAlignment="1" applyProtection="1">
      <alignment horizontal="center" vertical="center"/>
    </xf>
    <xf numFmtId="0" fontId="1" fillId="0" borderId="2" xfId="0" applyNumberFormat="1" applyFont="1" applyFill="1" applyBorder="1" applyAlignment="1" applyProtection="1">
      <alignment horizontal="left" vertical="center"/>
    </xf>
    <xf numFmtId="0" fontId="9" fillId="0" borderId="2" xfId="0" applyNumberFormat="1" applyFont="1" applyFill="1" applyBorder="1" applyAlignment="1" applyProtection="1">
      <alignment vertical="center"/>
    </xf>
    <xf numFmtId="21" fontId="9" fillId="6" borderId="1" xfId="0" applyNumberFormat="1" applyFont="1" applyFill="1" applyBorder="1" applyAlignment="1" applyProtection="1">
      <alignment horizontal="left" vertical="top"/>
    </xf>
    <xf numFmtId="49" fontId="8" fillId="6" borderId="1" xfId="0" applyNumberFormat="1" applyFont="1" applyFill="1" applyBorder="1" applyAlignment="1" applyProtection="1">
      <alignment horizontal="left" vertical="center"/>
    </xf>
    <xf numFmtId="49" fontId="8" fillId="14" borderId="2" xfId="0" applyNumberFormat="1" applyFont="1" applyFill="1" applyBorder="1" applyAlignment="1" applyProtection="1">
      <alignment vertical="center"/>
    </xf>
    <xf numFmtId="49" fontId="8" fillId="14" borderId="1" xfId="0" applyNumberFormat="1" applyFont="1" applyFill="1" applyBorder="1" applyAlignment="1" applyProtection="1">
      <alignment horizontal="left" vertical="center"/>
    </xf>
    <xf numFmtId="49" fontId="8" fillId="8" borderId="2" xfId="0" applyNumberFormat="1" applyFont="1" applyFill="1" applyBorder="1" applyAlignment="1" applyProtection="1">
      <alignment vertical="center"/>
    </xf>
    <xf numFmtId="49" fontId="8" fillId="8" borderId="1" xfId="0" applyNumberFormat="1" applyFont="1" applyFill="1" applyBorder="1" applyAlignment="1" applyProtection="1">
      <alignment horizontal="left" vertical="center"/>
    </xf>
    <xf numFmtId="49" fontId="8" fillId="5" borderId="1" xfId="0" applyNumberFormat="1" applyFont="1" applyFill="1" applyBorder="1" applyAlignment="1" applyProtection="1">
      <alignment horizontal="left" vertical="center"/>
    </xf>
    <xf numFmtId="49" fontId="8" fillId="0" borderId="2" xfId="0" applyNumberFormat="1" applyFont="1" applyFill="1" applyBorder="1" applyAlignment="1" applyProtection="1">
      <alignment vertical="center"/>
    </xf>
    <xf numFmtId="49" fontId="8" fillId="0" borderId="2" xfId="0" applyNumberFormat="1" applyFont="1" applyFill="1" applyBorder="1" applyAlignment="1" applyProtection="1">
      <alignment horizontal="left" vertical="center"/>
    </xf>
    <xf numFmtId="0" fontId="1" fillId="0" borderId="3" xfId="0" applyNumberFormat="1" applyFont="1" applyFill="1" applyBorder="1" applyAlignment="1" applyProtection="1">
      <alignment vertical="center"/>
    </xf>
    <xf numFmtId="0" fontId="8" fillId="0" borderId="2" xfId="0" applyNumberFormat="1" applyFont="1" applyFill="1" applyBorder="1" applyAlignment="1" applyProtection="1">
      <alignment horizontal="left" vertical="center"/>
    </xf>
    <xf numFmtId="0" fontId="9" fillId="0" borderId="3" xfId="0" applyNumberFormat="1" applyFont="1" applyFill="1" applyBorder="1" applyAlignment="1" applyProtection="1">
      <alignment vertical="center"/>
    </xf>
    <xf numFmtId="0" fontId="9" fillId="0" borderId="1" xfId="0" applyNumberFormat="1" applyFont="1" applyFill="1" applyBorder="1" applyAlignment="1" applyProtection="1">
      <alignment vertical="center"/>
    </xf>
    <xf numFmtId="0" fontId="9" fillId="15" borderId="8" xfId="0" applyNumberFormat="1" applyFont="1" applyFill="1" applyBorder="1" applyAlignment="1" applyProtection="1">
      <alignment vertical="center"/>
    </xf>
    <xf numFmtId="0" fontId="8" fillId="0" borderId="3" xfId="0" applyNumberFormat="1" applyFont="1" applyFill="1" applyBorder="1" applyAlignment="1" applyProtection="1">
      <alignment vertical="center"/>
    </xf>
    <xf numFmtId="0" fontId="9" fillId="0" borderId="1" xfId="0" applyFont="1" applyFill="1" applyBorder="1" applyAlignment="1" applyProtection="1">
      <alignment horizontal="left" vertical="top"/>
    </xf>
    <xf numFmtId="0" fontId="0" fillId="0" borderId="9" xfId="0" applyNumberFormat="1" applyFont="1" applyFill="1" applyBorder="1" applyAlignment="1" applyProtection="1">
      <alignment vertical="center"/>
    </xf>
    <xf numFmtId="0" fontId="9" fillId="0" borderId="10" xfId="0" applyFont="1" applyFill="1" applyBorder="1" applyAlignment="1" applyProtection="1">
      <alignment horizontal="left" vertical="top"/>
    </xf>
    <xf numFmtId="0" fontId="1" fillId="0" borderId="1" xfId="0" applyFont="1" applyFill="1" applyBorder="1">
      <alignment vertical="center"/>
    </xf>
    <xf numFmtId="0" fontId="8" fillId="0" borderId="1" xfId="0" applyFont="1" applyFill="1" applyBorder="1" applyAlignment="1" applyProtection="1">
      <alignment horizontal="left" vertical="top"/>
    </xf>
    <xf numFmtId="0" fontId="0" fillId="0" borderId="11" xfId="0" applyNumberFormat="1" applyFont="1" applyFill="1" applyBorder="1" applyAlignment="1" applyProtection="1">
      <alignment vertical="center"/>
    </xf>
    <xf numFmtId="0" fontId="9" fillId="0" borderId="12" xfId="0" applyFont="1" applyFill="1" applyBorder="1" applyAlignment="1" applyProtection="1">
      <alignment horizontal="left" vertical="top"/>
    </xf>
    <xf numFmtId="0" fontId="0" fillId="0" borderId="0" xfId="0" applyProtection="1">
      <alignment vertical="center"/>
    </xf>
    <xf numFmtId="0" fontId="2" fillId="0" borderId="0" xfId="0" applyFont="1" applyFill="1" applyProtection="1">
      <alignment vertical="center"/>
    </xf>
    <xf numFmtId="0" fontId="0" fillId="0" borderId="13" xfId="0" applyBorder="1" applyAlignment="1" applyProtection="1">
      <alignment horizontal="left" vertical="center"/>
    </xf>
    <xf numFmtId="0" fontId="0" fillId="0" borderId="14" xfId="0" applyBorder="1" applyAlignment="1" applyProtection="1">
      <alignment horizontal="left" vertical="center"/>
    </xf>
    <xf numFmtId="0" fontId="14" fillId="10" borderId="1" xfId="0" applyNumberFormat="1" applyFont="1" applyFill="1" applyBorder="1" applyAlignment="1" applyProtection="1">
      <alignment horizontal="center"/>
      <protection locked="0"/>
    </xf>
    <xf numFmtId="0" fontId="0" fillId="0" borderId="1" xfId="0" applyBorder="1" applyAlignment="1" applyProtection="1">
      <alignment horizontal="left" vertical="center"/>
    </xf>
    <xf numFmtId="0" fontId="0" fillId="0" borderId="15" xfId="0" applyBorder="1" applyAlignment="1" applyProtection="1">
      <alignment horizontal="left" vertical="center"/>
    </xf>
    <xf numFmtId="0" fontId="0" fillId="0" borderId="16" xfId="0" applyBorder="1" applyAlignment="1" applyProtection="1">
      <alignment horizontal="left" vertical="center"/>
    </xf>
    <xf numFmtId="0" fontId="14" fillId="10" borderId="12" xfId="0" applyNumberFormat="1" applyFont="1" applyFill="1" applyBorder="1" applyAlignment="1" applyProtection="1">
      <alignment horizontal="center"/>
      <protection locked="0"/>
    </xf>
    <xf numFmtId="0" fontId="0" fillId="0" borderId="17" xfId="0" applyBorder="1" applyProtection="1">
      <alignment vertical="center"/>
    </xf>
    <xf numFmtId="0" fontId="14" fillId="10" borderId="17" xfId="0" applyNumberFormat="1" applyFont="1" applyFill="1" applyBorder="1" applyAlignment="1" applyProtection="1">
      <alignment horizontal="center"/>
      <protection locked="0"/>
    </xf>
    <xf numFmtId="0" fontId="0" fillId="0" borderId="1" xfId="0" applyBorder="1" applyAlignment="1" applyProtection="1">
      <alignment vertical="center"/>
    </xf>
    <xf numFmtId="0" fontId="0" fillId="10" borderId="1" xfId="0" applyFill="1" applyBorder="1" applyAlignment="1" applyProtection="1">
      <alignment horizontal="center" vertical="center"/>
      <protection locked="0"/>
    </xf>
    <xf numFmtId="0" fontId="0" fillId="0" borderId="18" xfId="0" applyBorder="1" applyAlignment="1" applyProtection="1">
      <alignment horizontal="center" vertical="center"/>
    </xf>
    <xf numFmtId="0" fontId="0" fillId="0" borderId="14" xfId="0" applyBorder="1" applyAlignment="1" applyProtection="1">
      <alignment horizontal="center" vertical="center"/>
    </xf>
    <xf numFmtId="9" fontId="0" fillId="10" borderId="1" xfId="11" applyNumberFormat="1" applyFill="1" applyBorder="1" applyAlignment="1" applyProtection="1">
      <alignment horizontal="center" vertical="center"/>
      <protection locked="0"/>
    </xf>
    <xf numFmtId="0" fontId="0" fillId="0" borderId="1" xfId="0" applyBorder="1" applyProtection="1">
      <alignment vertical="center"/>
    </xf>
    <xf numFmtId="0" fontId="0" fillId="0" borderId="1" xfId="0" applyBorder="1" applyAlignment="1" applyProtection="1">
      <alignment horizontal="center" vertical="center"/>
    </xf>
    <xf numFmtId="0" fontId="0" fillId="0" borderId="0" xfId="0" applyAlignment="1" applyProtection="1">
      <alignment horizontal="center" vertical="center"/>
    </xf>
    <xf numFmtId="0" fontId="0" fillId="0" borderId="0" xfId="0" applyBorder="1" applyProtection="1">
      <alignment vertical="center"/>
    </xf>
    <xf numFmtId="0" fontId="0" fillId="0" borderId="12" xfId="0" applyBorder="1" applyAlignment="1" applyProtection="1">
      <alignment horizontal="center" vertical="center"/>
    </xf>
    <xf numFmtId="0" fontId="0" fillId="0" borderId="12" xfId="0" applyBorder="1" applyAlignment="1" applyProtection="1">
      <alignment horizontal="center" vertical="center" wrapText="1"/>
    </xf>
    <xf numFmtId="0" fontId="0" fillId="0" borderId="13" xfId="0" applyBorder="1" applyAlignment="1" applyProtection="1">
      <alignment horizontal="center" vertical="center"/>
    </xf>
    <xf numFmtId="0" fontId="0" fillId="0" borderId="10" xfId="0" applyBorder="1" applyAlignment="1" applyProtection="1">
      <alignment horizontal="center" vertical="center"/>
    </xf>
    <xf numFmtId="0" fontId="0" fillId="0" borderId="10" xfId="0" applyBorder="1" applyAlignment="1" applyProtection="1">
      <alignment horizontal="center" vertical="center" wrapText="1"/>
    </xf>
    <xf numFmtId="0" fontId="2" fillId="0" borderId="1" xfId="0" applyFont="1" applyBorder="1" applyAlignment="1" applyProtection="1">
      <alignment horizontal="center" vertical="center"/>
    </xf>
    <xf numFmtId="0" fontId="0" fillId="18" borderId="1" xfId="0" applyFill="1" applyBorder="1" applyAlignment="1" applyProtection="1">
      <alignment horizontal="left" vertical="center"/>
    </xf>
    <xf numFmtId="49" fontId="0" fillId="17" borderId="1" xfId="0" applyNumberFormat="1" applyFont="1" applyFill="1" applyBorder="1" applyAlignment="1" applyProtection="1">
      <alignment horizontal="center" vertical="center"/>
      <protection locked="0"/>
    </xf>
    <xf numFmtId="0" fontId="0" fillId="6" borderId="1" xfId="0" applyFill="1" applyBorder="1" applyAlignment="1" applyProtection="1">
      <alignment horizontal="left" vertical="center"/>
      <protection locked="0"/>
    </xf>
    <xf numFmtId="0" fontId="15" fillId="6" borderId="1" xfId="10" applyFont="1" applyFill="1" applyBorder="1" applyAlignment="1" applyProtection="1">
      <alignment horizontal="left" vertical="center"/>
      <protection locked="0"/>
    </xf>
    <xf numFmtId="49" fontId="0" fillId="10" borderId="1" xfId="0" applyNumberFormat="1" applyFont="1" applyFill="1" applyBorder="1" applyAlignment="1" applyProtection="1">
      <alignment horizontal="center" vertical="center"/>
      <protection locked="0"/>
    </xf>
    <xf numFmtId="0" fontId="16" fillId="6" borderId="1" xfId="10" applyFill="1" applyBorder="1" applyAlignment="1" applyProtection="1">
      <alignment horizontal="left" vertical="center"/>
      <protection locked="0"/>
    </xf>
    <xf numFmtId="0" fontId="0" fillId="18" borderId="12" xfId="0" applyFill="1" applyBorder="1" applyAlignment="1" applyProtection="1">
      <alignment horizontal="center" vertical="center"/>
    </xf>
    <xf numFmtId="0" fontId="0" fillId="0" borderId="12" xfId="0" applyBorder="1" applyAlignment="1" applyProtection="1">
      <alignment horizontal="left" vertical="center"/>
    </xf>
    <xf numFmtId="0" fontId="0" fillId="6" borderId="12" xfId="0" applyFill="1" applyBorder="1" applyAlignment="1" applyProtection="1">
      <alignment horizontal="left" vertical="center"/>
      <protection locked="0"/>
    </xf>
    <xf numFmtId="0" fontId="15" fillId="6" borderId="12" xfId="10" applyFont="1" applyFill="1" applyBorder="1" applyAlignment="1" applyProtection="1">
      <alignment horizontal="left" vertical="center"/>
      <protection locked="0"/>
    </xf>
    <xf numFmtId="0" fontId="0" fillId="18" borderId="10" xfId="0" applyFill="1" applyBorder="1" applyAlignment="1" applyProtection="1">
      <alignment horizontal="center" vertical="center"/>
    </xf>
    <xf numFmtId="0" fontId="0" fillId="0" borderId="10" xfId="0" applyBorder="1" applyAlignment="1" applyProtection="1">
      <alignment horizontal="left" vertical="center"/>
    </xf>
    <xf numFmtId="0" fontId="0" fillId="6" borderId="10" xfId="0" applyFill="1" applyBorder="1" applyAlignment="1" applyProtection="1">
      <alignment horizontal="left" vertical="center"/>
      <protection locked="0"/>
    </xf>
    <xf numFmtId="0" fontId="0" fillId="10" borderId="14" xfId="0" applyFont="1" applyFill="1" applyBorder="1" applyAlignment="1" applyProtection="1">
      <alignment horizontal="center" vertical="center"/>
      <protection locked="0"/>
    </xf>
    <xf numFmtId="49" fontId="0" fillId="17" borderId="14" xfId="0" applyNumberFormat="1" applyFont="1" applyFill="1" applyBorder="1" applyAlignment="1" applyProtection="1">
      <alignment horizontal="center" vertical="center"/>
      <protection locked="0"/>
    </xf>
    <xf numFmtId="49" fontId="0" fillId="10" borderId="14" xfId="0" applyNumberFormat="1" applyFont="1" applyFill="1" applyBorder="1" applyAlignment="1" applyProtection="1">
      <alignment horizontal="center" vertical="center"/>
      <protection locked="0"/>
    </xf>
    <xf numFmtId="0" fontId="2" fillId="18" borderId="18" xfId="0" applyFont="1" applyFill="1" applyBorder="1" applyAlignment="1" applyProtection="1">
      <alignment horizontal="center" vertical="center"/>
    </xf>
    <xf numFmtId="0" fontId="0" fillId="0" borderId="1" xfId="0" applyBorder="1" applyAlignment="1">
      <alignment horizontal="center" vertical="center"/>
    </xf>
    <xf numFmtId="0" fontId="0" fillId="19" borderId="1" xfId="0" applyFill="1" applyBorder="1">
      <alignment vertical="center"/>
    </xf>
    <xf numFmtId="0" fontId="0" fillId="10" borderId="12" xfId="0" applyFill="1" applyBorder="1" applyAlignment="1" applyProtection="1">
      <alignment horizontal="center" vertical="center"/>
      <protection locked="0"/>
    </xf>
    <xf numFmtId="49" fontId="0" fillId="10" borderId="16" xfId="0" applyNumberFormat="1" applyFont="1" applyFill="1" applyBorder="1" applyAlignment="1" applyProtection="1">
      <alignment horizontal="center" vertical="center"/>
      <protection locked="0"/>
    </xf>
    <xf numFmtId="0" fontId="0" fillId="18" borderId="12" xfId="0" applyFill="1" applyBorder="1" applyAlignment="1" applyProtection="1">
      <alignment horizontal="left" vertical="center"/>
    </xf>
    <xf numFmtId="0" fontId="0" fillId="18" borderId="12" xfId="0" applyFill="1" applyBorder="1" applyAlignment="1" applyProtection="1">
      <alignment horizontal="center" vertical="center" wrapText="1"/>
    </xf>
    <xf numFmtId="0" fontId="0" fillId="17" borderId="16" xfId="0" applyFont="1" applyFill="1" applyBorder="1" applyAlignment="1" applyProtection="1">
      <alignment horizontal="center" vertical="center"/>
      <protection locked="0"/>
    </xf>
    <xf numFmtId="0" fontId="0" fillId="18" borderId="10" xfId="0" applyFill="1" applyBorder="1" applyAlignment="1" applyProtection="1">
      <alignment horizontal="center" vertical="center" wrapText="1"/>
    </xf>
    <xf numFmtId="0" fontId="0" fillId="17" borderId="19" xfId="0" applyFont="1" applyFill="1" applyBorder="1" applyAlignment="1" applyProtection="1">
      <alignment horizontal="center" vertical="center"/>
      <protection locked="0"/>
    </xf>
    <xf numFmtId="0" fontId="0" fillId="18" borderId="10" xfId="0" applyFill="1" applyBorder="1" applyAlignment="1" applyProtection="1">
      <alignment horizontal="left" vertical="center"/>
    </xf>
    <xf numFmtId="0" fontId="0" fillId="0" borderId="1" xfId="0" applyFill="1" applyBorder="1" applyAlignment="1" applyProtection="1">
      <alignment horizontal="center" vertical="center"/>
    </xf>
    <xf numFmtId="0" fontId="0" fillId="18" borderId="1" xfId="0" applyFill="1" applyBorder="1" applyAlignment="1" applyProtection="1">
      <alignment vertical="center"/>
    </xf>
    <xf numFmtId="0" fontId="0" fillId="10" borderId="10" xfId="0" applyFill="1" applyBorder="1" applyAlignment="1" applyProtection="1">
      <alignment horizontal="center" vertical="center"/>
      <protection locked="0"/>
    </xf>
    <xf numFmtId="0" fontId="0" fillId="17" borderId="14" xfId="0" applyFont="1" applyFill="1" applyBorder="1" applyAlignment="1" applyProtection="1">
      <alignment horizontal="center" vertical="center"/>
      <protection locked="0"/>
    </xf>
    <xf numFmtId="0" fontId="0" fillId="17" borderId="1" xfId="0" applyFill="1" applyBorder="1" applyAlignment="1" applyProtection="1">
      <alignment horizontal="left" vertical="center"/>
    </xf>
    <xf numFmtId="0" fontId="0" fillId="17" borderId="14" xfId="0" applyFill="1" applyBorder="1" applyAlignment="1" applyProtection="1">
      <alignment horizontal="center" vertical="center"/>
      <protection locked="0"/>
    </xf>
    <xf numFmtId="0" fontId="0" fillId="0" borderId="14" xfId="0" applyFill="1" applyBorder="1" applyAlignment="1" applyProtection="1">
      <alignment horizontal="center" vertical="center"/>
      <protection locked="0"/>
    </xf>
    <xf numFmtId="0" fontId="0" fillId="0" borderId="1" xfId="0" applyFill="1" applyBorder="1" applyAlignment="1" applyProtection="1">
      <alignment vertical="center"/>
    </xf>
    <xf numFmtId="49" fontId="0" fillId="19" borderId="20" xfId="0" applyNumberFormat="1" applyFill="1" applyBorder="1" applyAlignment="1" applyProtection="1">
      <alignment horizontal="center" vertical="center"/>
    </xf>
    <xf numFmtId="49" fontId="0" fillId="19" borderId="18" xfId="0" applyNumberFormat="1" applyFill="1" applyBorder="1" applyAlignment="1" applyProtection="1">
      <alignment horizontal="center" vertical="center"/>
    </xf>
    <xf numFmtId="49" fontId="0" fillId="19" borderId="14" xfId="0" applyNumberFormat="1" applyFill="1" applyBorder="1" applyAlignment="1" applyProtection="1">
      <alignment horizontal="center" vertical="center"/>
    </xf>
    <xf numFmtId="0" fontId="0" fillId="9" borderId="1" xfId="0" applyFont="1" applyFill="1" applyBorder="1" applyAlignment="1" applyProtection="1">
      <alignment horizontal="center" vertical="center"/>
      <protection locked="0"/>
    </xf>
    <xf numFmtId="0" fontId="0" fillId="2" borderId="1" xfId="0" applyFill="1" applyBorder="1" applyAlignment="1" applyProtection="1">
      <alignment horizontal="center" vertical="center"/>
    </xf>
    <xf numFmtId="0" fontId="0" fillId="10" borderId="1" xfId="0" applyFill="1" applyBorder="1" applyProtection="1">
      <alignment vertical="center"/>
    </xf>
    <xf numFmtId="9" fontId="0" fillId="0" borderId="1" xfId="0" applyNumberFormat="1" applyBorder="1" applyAlignment="1" applyProtection="1">
      <alignment horizontal="center" vertical="center"/>
    </xf>
    <xf numFmtId="0" fontId="0" fillId="17" borderId="1" xfId="0" applyFill="1" applyBorder="1" applyProtection="1">
      <alignment vertical="center"/>
    </xf>
    <xf numFmtId="0" fontId="0" fillId="6" borderId="1" xfId="0" applyFill="1" applyBorder="1" applyAlignment="1" applyProtection="1">
      <alignment horizontal="center" vertical="center"/>
    </xf>
    <xf numFmtId="0" fontId="0" fillId="20" borderId="1" xfId="0" applyFill="1" applyBorder="1" applyProtection="1">
      <alignment vertical="center"/>
    </xf>
    <xf numFmtId="9"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 fillId="18" borderId="14" xfId="0" applyFont="1" applyFill="1" applyBorder="1" applyAlignment="1" applyProtection="1">
      <alignment horizontal="center" vertical="center"/>
    </xf>
    <xf numFmtId="0" fontId="0" fillId="0" borderId="1" xfId="0" applyNumberFormat="1" applyBorder="1" applyAlignment="1" applyProtection="1">
      <alignment horizontal="left" vertical="center"/>
    </xf>
    <xf numFmtId="0" fontId="14" fillId="0" borderId="1" xfId="0" applyFont="1" applyBorder="1" applyAlignment="1" applyProtection="1">
      <alignment horizontal="center" vertical="center"/>
      <protection locked="0"/>
    </xf>
    <xf numFmtId="49" fontId="0" fillId="17" borderId="1" xfId="0" applyNumberFormat="1" applyFont="1" applyFill="1" applyBorder="1" applyAlignment="1" applyProtection="1" quotePrefix="1">
      <alignment horizontal="center" vertical="center"/>
      <protection locked="0"/>
    </xf>
    <xf numFmtId="49" fontId="0" fillId="17" borderId="14" xfId="0" applyNumberFormat="1" applyFont="1" applyFill="1" applyBorder="1" applyAlignment="1" applyProtection="1" quotePrefix="1">
      <alignment horizontal="center" vertical="center"/>
      <protection locked="0"/>
    </xf>
    <xf numFmtId="49" fontId="0" fillId="10" borderId="14" xfId="0" applyNumberFormat="1" applyFont="1" applyFill="1" applyBorder="1" applyAlignment="1" applyProtection="1" quotePrefix="1">
      <alignment horizontal="center" vertical="center"/>
      <protection locked="0"/>
    </xf>
    <xf numFmtId="0" fontId="0" fillId="10" borderId="14" xfId="0" applyFont="1" applyFill="1" applyBorder="1" applyAlignment="1" applyProtection="1" quotePrefix="1">
      <alignment horizontal="center" vertical="center"/>
      <protection locked="0"/>
    </xf>
    <xf numFmtId="49" fontId="9" fillId="0" borderId="2" xfId="0" applyNumberFormat="1" applyFont="1" applyFill="1" applyBorder="1" applyAlignment="1" applyProtection="1" quotePrefix="1">
      <alignment vertical="center"/>
    </xf>
    <xf numFmtId="49" fontId="1" fillId="0" borderId="2" xfId="0" applyNumberFormat="1" applyFont="1" applyFill="1" applyBorder="1" applyAlignment="1" applyProtection="1" quotePrefix="1">
      <alignment vertical="center"/>
    </xf>
    <xf numFmtId="49" fontId="1" fillId="5" borderId="2" xfId="0" applyNumberFormat="1" applyFont="1" applyFill="1" applyBorder="1" applyAlignment="1" applyProtection="1" quotePrefix="1">
      <alignment vertical="center"/>
    </xf>
    <xf numFmtId="0" fontId="8" fillId="5" borderId="3" xfId="0" applyNumberFormat="1" applyFont="1" applyFill="1" applyBorder="1" applyAlignment="1" applyProtection="1" quotePrefix="1">
      <alignment horizontal="left" vertical="center"/>
    </xf>
    <xf numFmtId="49" fontId="8" fillId="5" borderId="2" xfId="0" applyNumberFormat="1" applyFont="1" applyFill="1" applyBorder="1" applyAlignment="1" applyProtection="1" quotePrefix="1">
      <alignment horizontal="left" vertical="center"/>
    </xf>
    <xf numFmtId="49" fontId="1" fillId="6" borderId="2" xfId="0" applyNumberFormat="1" applyFont="1" applyFill="1" applyBorder="1" applyAlignment="1" applyProtection="1" quotePrefix="1">
      <alignment vertical="center"/>
    </xf>
    <xf numFmtId="0" fontId="8" fillId="6" borderId="3" xfId="0" applyNumberFormat="1" applyFont="1" applyFill="1" applyBorder="1" applyAlignment="1" applyProtection="1" quotePrefix="1">
      <alignment horizontal="left" vertical="center"/>
    </xf>
    <xf numFmtId="49" fontId="8" fillId="6" borderId="2" xfId="0" applyNumberFormat="1" applyFont="1" applyFill="1" applyBorder="1" applyAlignment="1" applyProtection="1" quotePrefix="1">
      <alignment horizontal="left" vertical="center"/>
    </xf>
    <xf numFmtId="49" fontId="1" fillId="7" borderId="2" xfId="0" applyNumberFormat="1" applyFont="1" applyFill="1" applyBorder="1" applyAlignment="1" applyProtection="1" quotePrefix="1">
      <alignment vertical="center"/>
    </xf>
    <xf numFmtId="0" fontId="8" fillId="7" borderId="3" xfId="0" applyNumberFormat="1" applyFont="1" applyFill="1" applyBorder="1" applyAlignment="1" applyProtection="1" quotePrefix="1">
      <alignment horizontal="left" vertical="center"/>
    </xf>
    <xf numFmtId="0" fontId="9" fillId="6" borderId="1" xfId="0" applyFont="1" applyFill="1" applyBorder="1" applyAlignment="1" applyProtection="1" quotePrefix="1">
      <alignment horizontal="left" vertical="top"/>
    </xf>
    <xf numFmtId="0" fontId="8" fillId="6" borderId="1" xfId="0" applyFont="1" applyFill="1" applyBorder="1" applyAlignment="1" applyProtection="1" quotePrefix="1">
      <alignment horizontal="left" vertical="top"/>
    </xf>
    <xf numFmtId="49" fontId="1" fillId="9" borderId="2" xfId="0" applyNumberFormat="1" applyFont="1" applyFill="1" applyBorder="1" applyAlignment="1" applyProtection="1" quotePrefix="1">
      <alignment vertical="center"/>
    </xf>
    <xf numFmtId="49" fontId="1" fillId="10" borderId="2" xfId="0" applyNumberFormat="1" applyFont="1" applyFill="1" applyBorder="1" applyAlignment="1" applyProtection="1" quotePrefix="1">
      <alignment vertical="center"/>
    </xf>
    <xf numFmtId="49" fontId="1" fillId="8" borderId="2" xfId="0" applyNumberFormat="1" applyFont="1" applyFill="1" applyBorder="1" applyAlignment="1" applyProtection="1" quotePrefix="1">
      <alignment vertical="center"/>
    </xf>
    <xf numFmtId="49" fontId="1" fillId="11" borderId="2" xfId="0" applyNumberFormat="1" applyFont="1" applyFill="1" applyBorder="1" applyAlignment="1" applyProtection="1" quotePrefix="1">
      <alignment vertical="center"/>
    </xf>
    <xf numFmtId="49" fontId="1" fillId="12" borderId="2" xfId="0" applyNumberFormat="1" applyFont="1" applyFill="1" applyBorder="1" applyAlignment="1" applyProtection="1" quotePrefix="1">
      <alignment vertical="center"/>
    </xf>
    <xf numFmtId="49" fontId="1" fillId="13" borderId="2" xfId="0" applyNumberFormat="1" applyFont="1" applyFill="1" applyBorder="1" applyAlignment="1" applyProtection="1"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4">
    <dxf>
      <font>
        <strike val="1"/>
      </font>
      <fill>
        <patternFill patternType="solid">
          <bgColor rgb="FFFFFF00"/>
        </patternFill>
      </fill>
    </dxf>
    <dxf>
      <font>
        <strike val="1"/>
        <color rgb="FFFF0000"/>
      </font>
      <fill>
        <patternFill patternType="solid">
          <bgColor rgb="FFFFFF00"/>
        </patternFill>
      </fill>
    </dxf>
    <dxf>
      <font>
        <strike val="1"/>
        <color rgb="FF000000"/>
      </font>
      <fill>
        <patternFill patternType="solid">
          <bgColor rgb="FFFFFF00"/>
        </patternFill>
      </fill>
    </dxf>
    <dxf>
      <font>
        <strike val="1"/>
        <color auto="1"/>
      </font>
      <fill>
        <patternFill patternType="solid">
          <bgColor rgb="FFFFFF00"/>
        </patternFill>
      </fill>
    </dxf>
  </dxfs>
  <tableStyles count="0" defaultTableStyle="TableStyleMedium2" defaultPivotStyle="PivotStyleLight16"/>
  <colors>
    <mruColors>
      <color rgb="00FFFFFF"/>
      <color rgb="00BFBFBF"/>
      <color rgb="00D9D9D9"/>
      <color rgb="00000000"/>
      <color rgb="00FF0000"/>
      <color rgb="00F48585"/>
      <color rgb="00FF99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IP40V1@EF041A-95" TargetMode="External"/><Relationship Id="rId1" Type="http://schemas.openxmlformats.org/officeDocument/2006/relationships/hyperlink" Target="mailto:IP40U1@EF041A-9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N43"/>
  <sheetViews>
    <sheetView showGridLines="0" tabSelected="1" workbookViewId="0">
      <selection activeCell="H18" sqref="H18"/>
    </sheetView>
  </sheetViews>
  <sheetFormatPr defaultColWidth="9" defaultRowHeight="13.8"/>
  <cols>
    <col min="1" max="1" width="3.75" style="200" customWidth="1"/>
    <col min="2" max="2" width="14" style="200" customWidth="1"/>
    <col min="3" max="3" width="8" style="200" customWidth="1"/>
    <col min="4" max="4" width="19.1296296296296" style="200" customWidth="1"/>
    <col min="5" max="6" width="16.6296296296296" style="200" customWidth="1"/>
    <col min="7" max="8" width="18.6296296296296" style="200" customWidth="1"/>
    <col min="9" max="11" width="15.6296296296296" style="200" customWidth="1"/>
    <col min="12" max="12" width="1.25" style="200" customWidth="1"/>
    <col min="13" max="14" width="13.6296296296296" style="200" customWidth="1"/>
    <col min="15" max="16384" width="9" style="200"/>
  </cols>
  <sheetData>
    <row r="1" spans="2:3">
      <c r="B1" s="201" t="s">
        <v>0</v>
      </c>
      <c r="C1" s="200" t="s">
        <v>1</v>
      </c>
    </row>
    <row r="2" spans="3:3">
      <c r="C2" s="200" t="s">
        <v>2</v>
      </c>
    </row>
    <row r="3" ht="14.25" customHeight="1" spans="3:3">
      <c r="C3" s="200" t="s">
        <v>3</v>
      </c>
    </row>
    <row r="4" ht="10" customHeight="1"/>
    <row r="5" spans="2:14">
      <c r="B5" s="202" t="s">
        <v>4</v>
      </c>
      <c r="C5" s="203"/>
      <c r="D5" s="204" t="s">
        <v>5</v>
      </c>
      <c r="E5" s="205" t="s">
        <v>6</v>
      </c>
      <c r="F5" s="205"/>
      <c r="I5" s="265" t="s">
        <v>7</v>
      </c>
      <c r="J5" s="265" t="s">
        <v>8</v>
      </c>
      <c r="K5" s="265"/>
      <c r="M5" s="217" t="s">
        <v>9</v>
      </c>
      <c r="N5" s="217" t="s">
        <v>10</v>
      </c>
    </row>
    <row r="6" spans="2:14">
      <c r="B6" s="206" t="s">
        <v>11</v>
      </c>
      <c r="C6" s="207"/>
      <c r="D6" s="208" t="s">
        <v>12</v>
      </c>
      <c r="E6" s="209" t="s">
        <v>13</v>
      </c>
      <c r="F6" s="210" t="s">
        <v>14</v>
      </c>
      <c r="I6" s="266"/>
      <c r="J6" s="205" t="s">
        <v>15</v>
      </c>
      <c r="K6" s="205"/>
      <c r="M6" s="267">
        <v>0</v>
      </c>
      <c r="N6" s="217" t="s">
        <v>16</v>
      </c>
    </row>
    <row r="7" spans="2:14">
      <c r="B7" s="211" t="s">
        <v>17</v>
      </c>
      <c r="C7" s="212" t="s">
        <v>18</v>
      </c>
      <c r="D7" s="211" t="s">
        <v>19</v>
      </c>
      <c r="E7" s="213" t="str">
        <f>"F"&amp;IF(C7="Tx","T","R")&amp;RIGHT(D6,10)&amp;F6</f>
        <v>FR003WM2A001E001</v>
      </c>
      <c r="F7" s="214"/>
      <c r="I7" s="268"/>
      <c r="J7" s="205" t="s">
        <v>20</v>
      </c>
      <c r="K7" s="205"/>
      <c r="M7" s="267">
        <v>0.08</v>
      </c>
      <c r="N7" s="217" t="s">
        <v>21</v>
      </c>
    </row>
    <row r="8" ht="14.25" customHeight="1" spans="9:14">
      <c r="I8" s="269"/>
      <c r="J8" s="205" t="s">
        <v>22</v>
      </c>
      <c r="K8" s="205"/>
      <c r="M8" s="267">
        <v>0.13</v>
      </c>
      <c r="N8" s="217" t="s">
        <v>23</v>
      </c>
    </row>
    <row r="9" spans="2:14">
      <c r="B9" s="205" t="s">
        <v>24</v>
      </c>
      <c r="C9" s="205"/>
      <c r="D9" s="215">
        <v>0</v>
      </c>
      <c r="E9" s="216" t="s">
        <v>25</v>
      </c>
      <c r="F9" s="217" t="str">
        <f>VLOOKUP(D9,$M$6:$N$15,2,FALSE)</f>
        <v>AN</v>
      </c>
      <c r="G9" s="218"/>
      <c r="I9" s="217" t="s">
        <v>26</v>
      </c>
      <c r="J9" s="205" t="s">
        <v>27</v>
      </c>
      <c r="K9" s="205"/>
      <c r="M9" s="267">
        <v>0.2</v>
      </c>
      <c r="N9" s="217" t="s">
        <v>28</v>
      </c>
    </row>
    <row r="10" spans="2:14">
      <c r="B10" s="205" t="s">
        <v>29</v>
      </c>
      <c r="C10" s="205"/>
      <c r="D10" s="215">
        <v>0</v>
      </c>
      <c r="E10" s="216" t="s">
        <v>25</v>
      </c>
      <c r="F10" s="217" t="str">
        <f>VLOOKUP(D10,$M$6:$N$15,2,FALSE)</f>
        <v>AN</v>
      </c>
      <c r="G10" s="218"/>
      <c r="I10" s="270"/>
      <c r="J10" s="205" t="s">
        <v>30</v>
      </c>
      <c r="K10" s="205"/>
      <c r="M10" s="267">
        <v>0.25</v>
      </c>
      <c r="N10" s="217" t="s">
        <v>31</v>
      </c>
    </row>
    <row r="11" ht="14.25" customHeight="1" spans="2:14">
      <c r="B11" s="219"/>
      <c r="C11" s="219"/>
      <c r="D11" s="219"/>
      <c r="E11" s="219"/>
      <c r="F11" s="219"/>
      <c r="M11" s="271" t="s">
        <v>32</v>
      </c>
      <c r="N11" s="217" t="s">
        <v>33</v>
      </c>
    </row>
    <row r="12" spans="2:14">
      <c r="B12" s="220" t="s">
        <v>34</v>
      </c>
      <c r="C12" s="221" t="s">
        <v>35</v>
      </c>
      <c r="D12" s="220" t="s">
        <v>36</v>
      </c>
      <c r="E12" s="222" t="s">
        <v>37</v>
      </c>
      <c r="F12" s="214"/>
      <c r="G12" s="213" t="s">
        <v>38</v>
      </c>
      <c r="H12" s="214"/>
      <c r="I12" s="222" t="s">
        <v>39</v>
      </c>
      <c r="J12" s="213"/>
      <c r="K12" s="213"/>
      <c r="M12" s="272" t="s">
        <v>40</v>
      </c>
      <c r="N12" s="217" t="s">
        <v>41</v>
      </c>
    </row>
    <row r="13" spans="2:14">
      <c r="B13" s="223"/>
      <c r="C13" s="224"/>
      <c r="D13" s="223"/>
      <c r="E13" s="217" t="s">
        <v>42</v>
      </c>
      <c r="F13" s="225" t="s">
        <v>43</v>
      </c>
      <c r="G13" s="217" t="s">
        <v>42</v>
      </c>
      <c r="H13" s="225" t="s">
        <v>43</v>
      </c>
      <c r="I13" s="217" t="s">
        <v>42</v>
      </c>
      <c r="J13" s="225" t="s">
        <v>43</v>
      </c>
      <c r="K13" s="225" t="s">
        <v>44</v>
      </c>
      <c r="L13" s="218"/>
      <c r="M13" s="272" t="s">
        <v>45</v>
      </c>
      <c r="N13" s="217" t="s">
        <v>46</v>
      </c>
    </row>
    <row r="14" spans="2:11">
      <c r="B14" s="217" t="s">
        <v>47</v>
      </c>
      <c r="C14" s="226"/>
      <c r="D14" s="276" t="s">
        <v>48</v>
      </c>
      <c r="E14" s="205" t="str">
        <f>IF(F14="","CVD-S1OX"&amp;$D$14,F14)</f>
        <v>CVD-S1OX1000</v>
      </c>
      <c r="F14" s="228"/>
      <c r="G14" s="205" t="str">
        <f>IF(H14="","IP30S1@"&amp;D5&amp;"-08",H14)</f>
        <v>IP30S1@EF041A-08</v>
      </c>
      <c r="H14" s="229"/>
      <c r="I14" s="205" t="str">
        <f>IF(J14="","ICP-S1OX"&amp;$D$14,J14)</f>
        <v>ICP-S1OX1000</v>
      </c>
      <c r="J14" s="228"/>
      <c r="K14" s="228"/>
    </row>
    <row r="15" spans="2:14">
      <c r="B15" s="217" t="s">
        <v>49</v>
      </c>
      <c r="C15" s="226"/>
      <c r="D15" s="230" t="s">
        <v>50</v>
      </c>
      <c r="E15" s="205" t="str">
        <f>IF(F15="","PVD-U1MO"&amp;$D$15&amp;"N",F15)</f>
        <v>PVD-U1MO348N</v>
      </c>
      <c r="F15" s="228"/>
      <c r="G15" s="205" t="str">
        <f>IF(H15="","IP3000@"&amp;D5&amp;"-95",H15)</f>
        <v>IP40U1@EF041A-95</v>
      </c>
      <c r="H15" s="231" t="s">
        <v>51</v>
      </c>
      <c r="I15" s="205" t="str">
        <f>IF(J15="","ICP-U1MO"&amp;$D$15&amp;"N",J15)</f>
        <v>ICP-U1MO348N</v>
      </c>
      <c r="J15" s="228"/>
      <c r="K15" s="228">
        <v>4</v>
      </c>
      <c r="N15" s="218"/>
    </row>
    <row r="16" spans="2:14">
      <c r="B16" s="217" t="s">
        <v>52</v>
      </c>
      <c r="C16" s="232"/>
      <c r="D16" s="230" t="s">
        <v>53</v>
      </c>
      <c r="E16" s="233" t="str">
        <f>IF(F16="","PVD-V1"&amp;$F$9&amp;$D$16&amp;"N",F16)</f>
        <v>PVD-V1AN1100N</v>
      </c>
      <c r="F16" s="234"/>
      <c r="G16" s="233" t="str">
        <f>IF(H16="","IP30V1@"&amp;D5&amp;"-97",H16)</f>
        <v>IP40V1@EF041A-97</v>
      </c>
      <c r="H16" s="235" t="s">
        <v>54</v>
      </c>
      <c r="I16" s="205" t="str">
        <f>IF(J16="","ICP-V1OX"&amp;$D$18&amp;"N",J16)</f>
        <v>ICP-V1OX200N</v>
      </c>
      <c r="J16" s="228"/>
      <c r="K16" s="228"/>
      <c r="N16" s="218"/>
    </row>
    <row r="17" spans="2:14">
      <c r="B17" s="217"/>
      <c r="C17" s="236"/>
      <c r="D17" s="230"/>
      <c r="E17" s="237"/>
      <c r="F17" s="238"/>
      <c r="G17" s="237"/>
      <c r="H17" s="238"/>
      <c r="I17" s="205" t="str">
        <f>IF(J17="","ICP-V1"&amp;$F$9&amp;$D$16&amp;"N",J17)</f>
        <v>ICP-V1AN1100N</v>
      </c>
      <c r="J17" s="228"/>
      <c r="K17" s="228">
        <v>4</v>
      </c>
      <c r="N17" s="218"/>
    </row>
    <row r="18" spans="2:11">
      <c r="B18" s="217" t="s">
        <v>55</v>
      </c>
      <c r="C18" s="239" t="s">
        <v>56</v>
      </c>
      <c r="D18" s="277" t="s">
        <v>57</v>
      </c>
      <c r="E18" s="205" t="str">
        <f>IF(F18="","CVD-B1OX"&amp;$D$18&amp;"N",F18)</f>
        <v>CVD-B1OX200N</v>
      </c>
      <c r="F18" s="228"/>
      <c r="G18" s="205" t="str">
        <f>IF(H18="","IP2000@"&amp;D5&amp;"-42",H18)</f>
        <v>IP2000@EF041A-42</v>
      </c>
      <c r="H18" s="228"/>
      <c r="I18" s="205" t="str">
        <f>IF(J18="","ICP-B1OX"&amp;$D$18&amp;"N",J18)</f>
        <v>ICP-B1OX200N</v>
      </c>
      <c r="J18" s="228"/>
      <c r="K18" s="228"/>
    </row>
    <row r="19" spans="2:11">
      <c r="B19" s="217" t="s">
        <v>58</v>
      </c>
      <c r="C19" s="226"/>
      <c r="D19" s="241" t="s">
        <v>59</v>
      </c>
      <c r="E19" s="205" t="str">
        <f>IF(F19="","PVD-M2MO"&amp;$D$19&amp;"N",F19)</f>
        <v>PVD-M2MO368N</v>
      </c>
      <c r="F19" s="228"/>
      <c r="G19" s="242"/>
      <c r="H19" s="242"/>
      <c r="I19" s="242"/>
      <c r="J19" s="242"/>
      <c r="K19" s="273"/>
    </row>
    <row r="20" spans="2:11">
      <c r="B20" s="243" t="s">
        <v>60</v>
      </c>
      <c r="C20" s="239" t="s">
        <v>61</v>
      </c>
      <c r="D20" s="241" t="s">
        <v>62</v>
      </c>
      <c r="E20" s="244"/>
      <c r="F20" s="244"/>
      <c r="G20" s="2" t="str">
        <f>IF(H20="","IP3000@"&amp;D5&amp;"-140",H20)</f>
        <v>IP3000@EF041A-140</v>
      </c>
      <c r="H20" s="228"/>
      <c r="I20" s="2" t="str">
        <f>IF(J20="","TRM-MO280N-A",J20)</f>
        <v>TRM-MO280N-A</v>
      </c>
      <c r="J20" s="228"/>
      <c r="K20" s="228"/>
    </row>
    <row r="21" spans="2:11">
      <c r="B21" s="217" t="s">
        <v>63</v>
      </c>
      <c r="C21" s="239" t="s">
        <v>61</v>
      </c>
      <c r="D21" s="241" t="s">
        <v>64</v>
      </c>
      <c r="E21" s="205" t="str">
        <f>IF(F21="","PVD-F1MO"&amp;$D$21&amp;"N",F21)</f>
        <v>PVD-F1MO070N</v>
      </c>
      <c r="F21" s="228"/>
      <c r="G21" s="205" t="str">
        <f>IF(H21="","IP3000@"&amp;D5&amp;"-45",H21)</f>
        <v>IP3000@EF041A-45</v>
      </c>
      <c r="H21" s="228"/>
      <c r="I21" s="274" t="str">
        <f>IF(J21="",IF(C21="Trim","TRM-MO280N-A","ICP-F1MO"&amp;RIGHT(D21,2)&amp;"N"),J21)</f>
        <v>ICP-F1MO70N</v>
      </c>
      <c r="J21" s="228"/>
      <c r="K21" s="228"/>
    </row>
    <row r="22" spans="2:11">
      <c r="B22" s="217" t="s">
        <v>65</v>
      </c>
      <c r="C22" s="212" t="s">
        <v>66</v>
      </c>
      <c r="D22" s="241" t="s">
        <v>67</v>
      </c>
      <c r="E22" s="226"/>
      <c r="F22" s="226"/>
      <c r="G22" s="205" t="str">
        <f>IF(H22="","IP3000@"&amp;D5&amp;"-09",H22)</f>
        <v>IP3000@EF041A-09</v>
      </c>
      <c r="H22" s="228"/>
      <c r="I22" s="205" t="str">
        <f>IF(J22="","TRM-MO280N-A",J22)</f>
        <v>TRM-MO280N-A</v>
      </c>
      <c r="J22" s="228"/>
      <c r="K22" s="228"/>
    </row>
    <row r="23" spans="2:11">
      <c r="B23" s="217" t="s">
        <v>68</v>
      </c>
      <c r="C23" s="212" t="s">
        <v>61</v>
      </c>
      <c r="D23" s="241" t="s">
        <v>69</v>
      </c>
      <c r="E23" s="226"/>
      <c r="F23" s="226"/>
      <c r="G23" s="205" t="str">
        <f>IF(H23="","IP3000@"&amp;D5&amp;"-10",H23)</f>
        <v>IP3000@EF041A-10</v>
      </c>
      <c r="H23" s="228"/>
      <c r="I23" s="205" t="str">
        <f>IF(J23="","TRM-MO280N-A",J23)</f>
        <v>TRM-MO280N-A</v>
      </c>
      <c r="J23" s="228"/>
      <c r="K23" s="228"/>
    </row>
    <row r="24" spans="2:11">
      <c r="B24" s="217" t="s">
        <v>70</v>
      </c>
      <c r="C24" s="212" t="s">
        <v>66</v>
      </c>
      <c r="D24" s="278" t="s">
        <v>71</v>
      </c>
      <c r="E24" s="226"/>
      <c r="F24" s="226"/>
      <c r="G24" s="205" t="str">
        <f>IF(H24="","IP3000@"&amp;D5&amp;"-35",H24)</f>
        <v>IP3000@EF041A-35</v>
      </c>
      <c r="H24" s="228"/>
      <c r="I24" s="205" t="str">
        <f>IF(J24="","TRM-MO280N-A",J24)</f>
        <v>TRM-MO280N-A</v>
      </c>
      <c r="J24" s="228"/>
      <c r="K24" s="228"/>
    </row>
    <row r="25" spans="2:11">
      <c r="B25" s="217" t="s">
        <v>72</v>
      </c>
      <c r="C25" s="212" t="s">
        <v>66</v>
      </c>
      <c r="D25" s="278" t="s">
        <v>73</v>
      </c>
      <c r="E25" s="226"/>
      <c r="F25" s="226"/>
      <c r="G25" s="205" t="str">
        <f>IF(H25="","IP3000@"&amp;D5&amp;"-36",H25)</f>
        <v>IP3000@EF041A-36</v>
      </c>
      <c r="H25" s="228"/>
      <c r="I25" s="205" t="str">
        <f t="shared" ref="I24:I31" si="0">IF(J25="","TRM-MO280N-A",J25)</f>
        <v>TRM-MO280N-A</v>
      </c>
      <c r="J25" s="228"/>
      <c r="K25" s="228"/>
    </row>
    <row r="26" spans="2:11">
      <c r="B26" s="217" t="s">
        <v>74</v>
      </c>
      <c r="C26" s="212" t="s">
        <v>61</v>
      </c>
      <c r="D26" s="278" t="s">
        <v>71</v>
      </c>
      <c r="E26" s="226"/>
      <c r="F26" s="226"/>
      <c r="G26" s="205" t="str">
        <f>IF(H26="","IP3000@"&amp;D5&amp;"-135",H26)</f>
        <v>IP3000@EF041A-135</v>
      </c>
      <c r="H26" s="228"/>
      <c r="I26" s="205" t="str">
        <f t="shared" si="0"/>
        <v>TRM-MO280N-A</v>
      </c>
      <c r="J26" s="228"/>
      <c r="K26" s="228"/>
    </row>
    <row r="27" spans="2:11">
      <c r="B27" s="217" t="s">
        <v>75</v>
      </c>
      <c r="C27" s="212" t="s">
        <v>61</v>
      </c>
      <c r="D27" s="278" t="s">
        <v>71</v>
      </c>
      <c r="E27" s="226"/>
      <c r="F27" s="226"/>
      <c r="G27" s="205" t="str">
        <f>IF(H27="","IP3000@"&amp;D5&amp;"-136",H27)</f>
        <v>IP3000@EF041A-136</v>
      </c>
      <c r="H27" s="228"/>
      <c r="I27" s="205" t="str">
        <f t="shared" si="0"/>
        <v>TRM-MO280N-A</v>
      </c>
      <c r="J27" s="228"/>
      <c r="K27" s="228"/>
    </row>
    <row r="28" spans="2:11">
      <c r="B28" s="217" t="s">
        <v>76</v>
      </c>
      <c r="C28" s="212" t="s">
        <v>61</v>
      </c>
      <c r="D28" s="241" t="s">
        <v>73</v>
      </c>
      <c r="E28" s="226"/>
      <c r="F28" s="226"/>
      <c r="G28" s="205" t="str">
        <f>IF(H28="","IP3000@"&amp;D5&amp;"-137",H28)</f>
        <v>IP3000@EF041A-137</v>
      </c>
      <c r="H28" s="228"/>
      <c r="I28" s="205" t="str">
        <f t="shared" si="0"/>
        <v>TRM-MO280N-A</v>
      </c>
      <c r="J28" s="228"/>
      <c r="K28" s="228"/>
    </row>
    <row r="29" spans="2:11">
      <c r="B29" s="217" t="s">
        <v>77</v>
      </c>
      <c r="C29" s="245" t="s">
        <v>61</v>
      </c>
      <c r="D29" s="246" t="s">
        <v>78</v>
      </c>
      <c r="E29" s="226"/>
      <c r="F29" s="247"/>
      <c r="G29" s="233" t="str">
        <f>IF(H29="","IP3000@"&amp;D5&amp;"-138",H29)</f>
        <v>IP3000@EF041A-138</v>
      </c>
      <c r="H29" s="234"/>
      <c r="I29" s="205" t="str">
        <f t="shared" si="0"/>
        <v>TRM-MO280N-A</v>
      </c>
      <c r="J29" s="228"/>
      <c r="K29" s="228"/>
    </row>
    <row r="30" spans="2:11">
      <c r="B30" s="217" t="s">
        <v>79</v>
      </c>
      <c r="C30" s="245" t="s">
        <v>61</v>
      </c>
      <c r="D30" s="246" t="s">
        <v>80</v>
      </c>
      <c r="E30" s="226"/>
      <c r="F30" s="247"/>
      <c r="G30" s="233" t="str">
        <f>IF(H30="","IP3000@"&amp;D5&amp;"-139",H30)</f>
        <v>IP3000@EF041A-139</v>
      </c>
      <c r="H30" s="234"/>
      <c r="I30" s="205" t="str">
        <f t="shared" si="0"/>
        <v>TRM-MO280N-A</v>
      </c>
      <c r="J30" s="228"/>
      <c r="K30" s="228"/>
    </row>
    <row r="31" spans="2:11">
      <c r="B31" s="217" t="s">
        <v>81</v>
      </c>
      <c r="C31" s="245" t="s">
        <v>61</v>
      </c>
      <c r="D31" s="246" t="s">
        <v>82</v>
      </c>
      <c r="E31" s="226"/>
      <c r="F31" s="247"/>
      <c r="G31" s="233" t="str">
        <f>IF(H31="","IP3000@"&amp;D5&amp;"-150",H31)</f>
        <v>IP3000@EF041A-150</v>
      </c>
      <c r="H31" s="234"/>
      <c r="I31" s="205" t="str">
        <f t="shared" si="0"/>
        <v>TRM-MO280N-A</v>
      </c>
      <c r="J31" s="228"/>
      <c r="K31" s="228"/>
    </row>
    <row r="32" spans="2:11">
      <c r="B32" s="217" t="s">
        <v>83</v>
      </c>
      <c r="C32" s="248" t="s">
        <v>84</v>
      </c>
      <c r="D32" s="249" t="str">
        <f>D19</f>
        <v>368</v>
      </c>
      <c r="E32" s="226"/>
      <c r="F32" s="247"/>
      <c r="G32" s="233" t="str">
        <f>IF(H32="","IP3000@"&amp;D5&amp;"-126",H32)</f>
        <v>IP3000@EF041A-126</v>
      </c>
      <c r="H32" s="234"/>
      <c r="I32" s="205" t="str">
        <f>IF(J32="","ICP-M1MOPHYS",J32)</f>
        <v>ICP-M1MO368N</v>
      </c>
      <c r="J32" s="228" t="s">
        <v>85</v>
      </c>
      <c r="K32" s="228"/>
    </row>
    <row r="33" spans="2:11">
      <c r="B33" s="217"/>
      <c r="C33" s="250"/>
      <c r="D33" s="251"/>
      <c r="E33" s="226"/>
      <c r="F33" s="252"/>
      <c r="G33" s="237"/>
      <c r="H33" s="238"/>
      <c r="I33" s="205" t="str">
        <f>IF(J33="","ICP-M1MOCHEM",J33)</f>
        <v>删除</v>
      </c>
      <c r="J33" s="228" t="s">
        <v>86</v>
      </c>
      <c r="K33" s="228"/>
    </row>
    <row r="34" spans="2:11">
      <c r="B34" s="253" t="s">
        <v>87</v>
      </c>
      <c r="C34" s="245" t="s">
        <v>61</v>
      </c>
      <c r="D34" s="232"/>
      <c r="E34" s="226"/>
      <c r="F34" s="254"/>
      <c r="G34" s="233" t="str">
        <f>IF(H34="","IP4000@"&amp;D5&amp;"-126",H34)</f>
        <v>IP4000@EF041A-126</v>
      </c>
      <c r="H34" s="234"/>
      <c r="I34" s="205" t="str">
        <f>IF(J34="","ICP-V2"&amp;$F$10&amp;$D$36&amp;"N",J34)</f>
        <v>ICP-V2AN300N</v>
      </c>
      <c r="J34" s="228"/>
      <c r="K34" s="228"/>
    </row>
    <row r="35" spans="2:11">
      <c r="B35" s="253"/>
      <c r="C35" s="255"/>
      <c r="D35" s="236"/>
      <c r="E35" s="226"/>
      <c r="F35" s="254"/>
      <c r="G35" s="237"/>
      <c r="H35" s="238"/>
      <c r="I35" s="205" t="str">
        <f>IF(J35="","ICP-W1MO"&amp;$D$32&amp;"N",J35)</f>
        <v>ICP-W1MO368N</v>
      </c>
      <c r="J35" s="228"/>
      <c r="K35" s="228"/>
    </row>
    <row r="36" spans="2:11">
      <c r="B36" s="217" t="s">
        <v>88</v>
      </c>
      <c r="C36" s="226"/>
      <c r="D36" s="279" t="s">
        <v>89</v>
      </c>
      <c r="E36" s="205" t="str">
        <f>IF(F36="","PVD-V2"&amp;$F$10&amp;$D$36&amp;"N",F36)</f>
        <v>PVD-V2AN300N</v>
      </c>
      <c r="F36" s="228"/>
      <c r="G36" s="205" t="str">
        <f>IF(H36="","IP3000@"&amp;D5&amp;"-90",H36)</f>
        <v>IP3000@EF041A-90</v>
      </c>
      <c r="H36" s="228"/>
      <c r="I36" s="205" t="str">
        <f>IF(J36="","ICP-V2"&amp;$F$10&amp;$D$36&amp;"N",J36)</f>
        <v>ICP-V2AN300N</v>
      </c>
      <c r="J36" s="228"/>
      <c r="K36" s="228"/>
    </row>
    <row r="37" spans="2:11">
      <c r="B37" s="217" t="s">
        <v>90</v>
      </c>
      <c r="C37" s="226"/>
      <c r="D37" s="256" t="s">
        <v>91</v>
      </c>
      <c r="E37" s="257" t="str">
        <f>IF(F37="","EGN-AL2000-A",F37)</f>
        <v>EGN-AL2000-A</v>
      </c>
      <c r="F37" s="228"/>
      <c r="G37" s="205" t="str">
        <f>IF(H37="","IN3000@"&amp;D5&amp;"-48",H37)</f>
        <v>IN3000@EF041A-48</v>
      </c>
      <c r="H37" s="228"/>
      <c r="I37" s="205" t="str">
        <f>IF(J37="","ETCHLIF-PAD1",J37)</f>
        <v>ETCHLIF-PAD1</v>
      </c>
      <c r="J37" s="228"/>
      <c r="K37" s="228"/>
    </row>
    <row r="38" spans="2:11">
      <c r="B38" s="217" t="s">
        <v>92</v>
      </c>
      <c r="C38" s="226"/>
      <c r="D38" s="258">
        <f>D16+D36+60</f>
        <v>1460</v>
      </c>
      <c r="E38" s="226"/>
      <c r="F38" s="226"/>
      <c r="G38" s="237" t="str">
        <f>IF(H38="","IP4000@"&amp;D5&amp;"-58",H38)</f>
        <v>IP4000@EF041A-58</v>
      </c>
      <c r="H38" s="238"/>
      <c r="I38" s="205" t="str">
        <f>IF(J38="","ICP-V3"&amp;$F$9&amp;$D$38,J38)</f>
        <v>ICP-V3AN1460</v>
      </c>
      <c r="J38" s="228"/>
      <c r="K38" s="228"/>
    </row>
    <row r="39" spans="2:11">
      <c r="B39" s="217" t="s">
        <v>93</v>
      </c>
      <c r="C39" s="226"/>
      <c r="D39" s="259" t="s">
        <v>94</v>
      </c>
      <c r="E39" s="260" t="str">
        <f>IF(F39="","WBG-140-"&amp;LEFT(D39,3),F39)</f>
        <v>WBG-140-250</v>
      </c>
      <c r="F39" s="226"/>
      <c r="G39" s="261"/>
      <c r="H39" s="226"/>
      <c r="I39" s="226"/>
      <c r="J39" s="226"/>
      <c r="K39" s="226"/>
    </row>
    <row r="40" spans="2:11">
      <c r="B40" s="217" t="s">
        <v>95</v>
      </c>
      <c r="C40" s="212" t="s">
        <v>56</v>
      </c>
      <c r="D40" s="260"/>
      <c r="E40" s="260"/>
      <c r="F40" s="260"/>
      <c r="G40" s="262"/>
      <c r="H40" s="263"/>
      <c r="I40" s="205" t="str">
        <f>IF(J40="","TRM-AN300N-C",J40)</f>
        <v>TRM-AN300N-C</v>
      </c>
      <c r="J40" s="228"/>
      <c r="K40" s="228"/>
    </row>
    <row r="41" ht="10" customHeight="1"/>
    <row r="42" spans="2:11">
      <c r="B42" s="217" t="s">
        <v>96</v>
      </c>
      <c r="C42" s="217" t="s">
        <v>97</v>
      </c>
      <c r="D42" s="217" t="s">
        <v>98</v>
      </c>
      <c r="E42" s="217" t="s">
        <v>99</v>
      </c>
      <c r="F42" s="217" t="s">
        <v>100</v>
      </c>
      <c r="G42" s="217" t="s">
        <v>101</v>
      </c>
      <c r="H42" s="217" t="s">
        <v>102</v>
      </c>
      <c r="I42" s="217" t="s">
        <v>103</v>
      </c>
      <c r="J42" s="217" t="s">
        <v>104</v>
      </c>
      <c r="K42" s="218"/>
    </row>
    <row r="43" spans="2:11">
      <c r="B43" s="205" t="s">
        <v>95</v>
      </c>
      <c r="C43" s="264">
        <v>3</v>
      </c>
      <c r="D43" s="212" t="s">
        <v>105</v>
      </c>
      <c r="E43" s="212">
        <v>1822.5</v>
      </c>
      <c r="F43" s="212">
        <v>1832.5</v>
      </c>
      <c r="G43" s="212">
        <v>1842.5</v>
      </c>
      <c r="H43" s="212">
        <v>2460</v>
      </c>
      <c r="I43" s="275">
        <v>0.6</v>
      </c>
      <c r="J43" s="275">
        <v>0.5</v>
      </c>
      <c r="K43" s="218"/>
    </row>
  </sheetData>
  <sheetProtection password="9090" sheet="1" selectLockedCells="1" objects="1"/>
  <protectedRanges>
    <protectedRange sqref="D5" name="Mask"/>
    <protectedRange sqref="D36 D32:D33 D25:D28 D14:D19 D21:D24 D20" name="Film THK"/>
    <protectedRange sqref="E43" name="Trim frequency"/>
    <protectedRange sqref="D43" name="Trim base"/>
    <protectedRange sqref="D6 F6" name="Production name"/>
    <protectedRange sqref="D9:D10" name="Sc percent select"/>
    <protectedRange sqref="C18 C34:C35 C21 C24:C28 C22 C20" name="Route select"/>
    <protectedRange sqref="C7" name="select Tx Rx"/>
    <protectedRange sqref="C43" name="Trim times"/>
    <protectedRange sqref="I43:J43" name="Trim AB value"/>
  </protectedRanges>
  <mergeCells count="37">
    <mergeCell ref="B5:C5"/>
    <mergeCell ref="E5:F5"/>
    <mergeCell ref="J5:K5"/>
    <mergeCell ref="B6:C6"/>
    <mergeCell ref="J6:K6"/>
    <mergeCell ref="E7:F7"/>
    <mergeCell ref="J7:K7"/>
    <mergeCell ref="J8:K8"/>
    <mergeCell ref="B9:C9"/>
    <mergeCell ref="J9:K9"/>
    <mergeCell ref="B10:C10"/>
    <mergeCell ref="J10:K10"/>
    <mergeCell ref="E12:F12"/>
    <mergeCell ref="G12:H12"/>
    <mergeCell ref="I12:K12"/>
    <mergeCell ref="G19:K19"/>
    <mergeCell ref="G40:H40"/>
    <mergeCell ref="B12:B13"/>
    <mergeCell ref="B16:B17"/>
    <mergeCell ref="B32:B33"/>
    <mergeCell ref="B34:B35"/>
    <mergeCell ref="C12:C13"/>
    <mergeCell ref="C16:C17"/>
    <mergeCell ref="C32:C33"/>
    <mergeCell ref="C34:C35"/>
    <mergeCell ref="D12:D13"/>
    <mergeCell ref="D16:D17"/>
    <mergeCell ref="D32:D33"/>
    <mergeCell ref="D34:D35"/>
    <mergeCell ref="E16:E17"/>
    <mergeCell ref="F16:F17"/>
    <mergeCell ref="G16:G17"/>
    <mergeCell ref="G32:G33"/>
    <mergeCell ref="G34:G35"/>
    <mergeCell ref="H16:H17"/>
    <mergeCell ref="H32:H33"/>
    <mergeCell ref="H34:H35"/>
  </mergeCells>
  <conditionalFormatting sqref="B18:K18">
    <cfRule type="expression" dxfId="0" priority="97">
      <formula>$C$18="No"</formula>
    </cfRule>
  </conditionalFormatting>
  <conditionalFormatting sqref="B21:K21">
    <cfRule type="expression" dxfId="0" priority="96">
      <formula>$C$21="No"</formula>
    </cfRule>
  </conditionalFormatting>
  <conditionalFormatting sqref="E21:F21">
    <cfRule type="expression" dxfId="1" priority="25">
      <formula>$C$21="Trim"</formula>
    </cfRule>
  </conditionalFormatting>
  <conditionalFormatting sqref="K24">
    <cfRule type="expression" dxfId="0" priority="46">
      <formula>$C$24="No"</formula>
    </cfRule>
  </conditionalFormatting>
  <conditionalFormatting sqref="K25">
    <cfRule type="expression" dxfId="0" priority="44">
      <formula>$C$25="No"</formula>
    </cfRule>
    <cfRule type="expression" dxfId="0" priority="45">
      <formula>$C$24="No"</formula>
    </cfRule>
  </conditionalFormatting>
  <conditionalFormatting sqref="K26">
    <cfRule type="expression" dxfId="0" priority="41">
      <formula>$C$26="No"</formula>
    </cfRule>
    <cfRule type="expression" dxfId="0" priority="42">
      <formula>$C$25="No"</formula>
    </cfRule>
    <cfRule type="expression" dxfId="0" priority="43">
      <formula>$C$24="No"</formula>
    </cfRule>
  </conditionalFormatting>
  <conditionalFormatting sqref="K27">
    <cfRule type="expression" dxfId="0" priority="37">
      <formula>$C$27="No"</formula>
    </cfRule>
    <cfRule type="expression" dxfId="0" priority="38">
      <formula>$C$26="No"</formula>
    </cfRule>
    <cfRule type="expression" dxfId="0" priority="39">
      <formula>$C$25="No"</formula>
    </cfRule>
    <cfRule type="expression" dxfId="0" priority="40">
      <formula>$C$24="No"</formula>
    </cfRule>
  </conditionalFormatting>
  <conditionalFormatting sqref="K31">
    <cfRule type="expression" dxfId="0" priority="14">
      <formula>$C$28="No"</formula>
    </cfRule>
    <cfRule type="expression" dxfId="0" priority="15">
      <formula>$C$27="No"</formula>
    </cfRule>
    <cfRule type="expression" dxfId="0" priority="16">
      <formula>$C$26="No"</formula>
    </cfRule>
    <cfRule type="expression" dxfId="0" priority="17">
      <formula>$C$25="No"</formula>
    </cfRule>
    <cfRule type="expression" dxfId="0" priority="18">
      <formula>$C$24="No"</formula>
    </cfRule>
  </conditionalFormatting>
  <conditionalFormatting sqref="K40">
    <cfRule type="expression" dxfId="0" priority="30">
      <formula>$C$40="No"</formula>
    </cfRule>
  </conditionalFormatting>
  <conditionalFormatting sqref="F43:H43">
    <cfRule type="expression" dxfId="1" priority="10">
      <formula>$C$43=1</formula>
    </cfRule>
  </conditionalFormatting>
  <conditionalFormatting sqref="G43:H43">
    <cfRule type="expression" dxfId="1" priority="9">
      <formula>$C$43=2</formula>
    </cfRule>
  </conditionalFormatting>
  <conditionalFormatting sqref="H43">
    <cfRule type="expression" dxfId="1" priority="8">
      <formula>$C$43=3</formula>
    </cfRule>
  </conditionalFormatting>
  <conditionalFormatting sqref="K28:K30">
    <cfRule type="expression" dxfId="0" priority="32">
      <formula>$C$28="No"</formula>
    </cfRule>
    <cfRule type="expression" dxfId="0" priority="33">
      <formula>$C$27="No"</formula>
    </cfRule>
    <cfRule type="expression" dxfId="0" priority="34">
      <formula>$C$26="No"</formula>
    </cfRule>
    <cfRule type="expression" dxfId="0" priority="35">
      <formula>$C$25="No"</formula>
    </cfRule>
    <cfRule type="expression" dxfId="0" priority="36">
      <formula>$C$24="No"</formula>
    </cfRule>
  </conditionalFormatting>
  <conditionalFormatting sqref="B20:D20 G20:K20">
    <cfRule type="expression" dxfId="0" priority="3">
      <formula>$C$20="No"</formula>
    </cfRule>
  </conditionalFormatting>
  <conditionalFormatting sqref="B22:D22 G22:K22">
    <cfRule type="expression" dxfId="0" priority="1">
      <formula>$C$22="No"</formula>
    </cfRule>
  </conditionalFormatting>
  <conditionalFormatting sqref="B23:D23 G23:K23">
    <cfRule type="expression" dxfId="0" priority="2">
      <formula>$C$23="No"</formula>
    </cfRule>
  </conditionalFormatting>
  <conditionalFormatting sqref="B24:D30 G24:J30">
    <cfRule type="expression" dxfId="0" priority="70">
      <formula>$C$24="No"</formula>
    </cfRule>
  </conditionalFormatting>
  <conditionalFormatting sqref="B25:D30 G25:J30">
    <cfRule type="expression" dxfId="0" priority="69">
      <formula>$C$25="No"</formula>
    </cfRule>
  </conditionalFormatting>
  <conditionalFormatting sqref="B26:D30 G26:J30">
    <cfRule type="expression" dxfId="0" priority="68">
      <formula>$C$26="No"</formula>
    </cfRule>
  </conditionalFormatting>
  <conditionalFormatting sqref="B27:D30 G27:J30">
    <cfRule type="expression" dxfId="0" priority="67">
      <formula>$C$27="No"</formula>
    </cfRule>
  </conditionalFormatting>
  <conditionalFormatting sqref="B28:D30 G28:J30">
    <cfRule type="expression" dxfId="0" priority="66">
      <formula>$C$28="No"</formula>
    </cfRule>
  </conditionalFormatting>
  <conditionalFormatting sqref="B29:D31 G29:K31">
    <cfRule type="expression" dxfId="2" priority="13">
      <formula>$C$29="No"</formula>
    </cfRule>
  </conditionalFormatting>
  <conditionalFormatting sqref="B30:D31 G30:K31">
    <cfRule type="expression" dxfId="0" priority="12">
      <formula>$C$30="No"</formula>
    </cfRule>
  </conditionalFormatting>
  <conditionalFormatting sqref="B31:D31 G31:J31">
    <cfRule type="expression" dxfId="0" priority="19">
      <formula>$C$28="No"</formula>
    </cfRule>
    <cfRule type="expression" dxfId="0" priority="20">
      <formula>$C$27="No"</formula>
    </cfRule>
    <cfRule type="expression" dxfId="0" priority="21">
      <formula>$C$26="No"</formula>
    </cfRule>
    <cfRule type="expression" dxfId="0" priority="22">
      <formula>$C$25="No"</formula>
    </cfRule>
    <cfRule type="expression" dxfId="0" priority="23">
      <formula>$C$24="No"</formula>
    </cfRule>
  </conditionalFormatting>
  <conditionalFormatting sqref="B31:D31 G31:K31">
    <cfRule type="expression" dxfId="0" priority="11">
      <formula>$C$31="No"</formula>
    </cfRule>
  </conditionalFormatting>
  <conditionalFormatting sqref="B32:B33 D32:D33 G32:K33">
    <cfRule type="expression" dxfId="3" priority="49">
      <formula>$C$34="Yes"</formula>
    </cfRule>
  </conditionalFormatting>
  <conditionalFormatting sqref="B34:C35 G34:K35">
    <cfRule type="expression" dxfId="1" priority="85">
      <formula>$C$34="No"</formula>
    </cfRule>
  </conditionalFormatting>
  <conditionalFormatting sqref="B40:F40 B43:H43 I40:J40">
    <cfRule type="expression" dxfId="1" priority="63">
      <formula>$C$40="No"</formula>
    </cfRule>
  </conditionalFormatting>
  <dataValidations count="9">
    <dataValidation type="list" allowBlank="1" showInputMessage="1" showErrorMessage="1" sqref="C7">
      <formula1>"Tx,Rx"</formula1>
    </dataValidation>
    <dataValidation type="list" allowBlank="1" showInputMessage="1" showErrorMessage="1" sqref="D9">
      <formula1>$M$6:$M13</formula1>
    </dataValidation>
    <dataValidation type="list" allowBlank="1" showInputMessage="1" showErrorMessage="1" sqref="D10">
      <formula1>$M$6:$M13</formula1>
    </dataValidation>
    <dataValidation allowBlank="1" showInputMessage="1" showErrorMessage="1" sqref="C39"/>
    <dataValidation type="list" allowBlank="1" showInputMessage="1" showErrorMessage="1" sqref="C18 C40 C34:C35">
      <formula1>"Yes,No"</formula1>
    </dataValidation>
    <dataValidation type="list" allowBlank="1" showInputMessage="1" showErrorMessage="1" sqref="C21">
      <formula1>"Trim,Etch,No"</formula1>
    </dataValidation>
    <dataValidation type="list" allowBlank="1" showInputMessage="1" showErrorMessage="1" sqref="C20 C22:C31">
      <formula1>"Trim,No"</formula1>
    </dataValidation>
    <dataValidation type="list" allowBlank="1" showInputMessage="1" showErrorMessage="1" sqref="C43">
      <formula1>"1,2,3,4"</formula1>
    </dataValidation>
    <dataValidation type="list" allowBlank="1" showInputMessage="1" showErrorMessage="1" sqref="D43">
      <formula1>"High,Center,Low"</formula1>
    </dataValidation>
  </dataValidations>
  <hyperlinks>
    <hyperlink ref="H15" r:id="rId1" display="IP40U1@EF041A-95"/>
    <hyperlink ref="H16" r:id="rId2" display="IP40V1@EF041A-97"/>
  </hyperlinks>
  <pageMargins left="0.75" right="0.75" top="1" bottom="1" header="0.5" footer="0.5"/>
  <headerFooter/>
  <ignoredErrors>
    <ignoredError sqref="I21"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T507"/>
  <sheetViews>
    <sheetView zoomScale="115" zoomScaleNormal="115" topLeftCell="A341" workbookViewId="0">
      <selection activeCell="L353" sqref="L353"/>
    </sheetView>
  </sheetViews>
  <sheetFormatPr defaultColWidth="9" defaultRowHeight="13.8"/>
  <cols>
    <col min="1" max="1" width="17.6296296296296" customWidth="1"/>
    <col min="2" max="2" width="16.6296296296296" style="21" customWidth="1"/>
    <col min="3" max="3" width="15.7592592592593" style="21" customWidth="1"/>
    <col min="4" max="4" width="34.5" customWidth="1"/>
    <col min="5" max="5" width="44.5555555555556" style="22" customWidth="1"/>
    <col min="6" max="6" width="9.37962962962963" customWidth="1"/>
    <col min="7" max="7" width="26" customWidth="1"/>
    <col min="8" max="8" width="12.8796296296296" customWidth="1"/>
    <col min="9" max="9" width="9" customWidth="1"/>
    <col min="10" max="10" width="13.75" customWidth="1"/>
    <col min="11" max="11" width="7.25" customWidth="1"/>
    <col min="12" max="12" width="20" customWidth="1"/>
    <col min="13" max="13" width="10.3796296296296" style="21" customWidth="1"/>
    <col min="14" max="14" width="28.037037037037" customWidth="1"/>
    <col min="15" max="15" width="13.1296296296296" style="23" customWidth="1"/>
    <col min="16" max="16" width="13.1296296296296" style="24" customWidth="1"/>
    <col min="17" max="18" width="19.3796296296296" style="23" customWidth="1"/>
    <col min="19" max="19" width="9" customWidth="1"/>
  </cols>
  <sheetData>
    <row r="1" ht="17.1" customHeight="1" spans="1:5">
      <c r="A1" s="25" t="s">
        <v>106</v>
      </c>
      <c r="B1" s="25"/>
      <c r="C1" s="25"/>
      <c r="D1" s="25"/>
      <c r="E1" s="25"/>
    </row>
    <row r="2" ht="17.45" customHeight="1" spans="1:20">
      <c r="A2" s="25"/>
      <c r="B2" s="25"/>
      <c r="C2" s="25"/>
      <c r="D2" s="25"/>
      <c r="E2" s="25"/>
      <c r="F2" s="26"/>
      <c r="G2" s="26"/>
      <c r="H2" s="26"/>
      <c r="I2" s="26"/>
      <c r="J2" s="55"/>
      <c r="K2" s="55"/>
      <c r="L2" s="55"/>
      <c r="M2" s="56"/>
      <c r="N2" s="55"/>
      <c r="O2" s="57"/>
      <c r="P2" s="58"/>
      <c r="Q2" s="84"/>
      <c r="R2" s="64"/>
      <c r="S2" s="55"/>
      <c r="T2" s="55"/>
    </row>
    <row r="3" ht="21.95" customHeight="1" spans="2:20">
      <c r="B3" s="27" t="s">
        <v>107</v>
      </c>
      <c r="C3" s="28" t="str">
        <f>'Check list'!D6</f>
        <v>FQ003WM2A001</v>
      </c>
      <c r="D3" s="29" t="s">
        <v>108</v>
      </c>
      <c r="E3" s="30" t="str">
        <f>'Check list'!E7</f>
        <v>FR003WM2A001E001</v>
      </c>
      <c r="F3" s="31"/>
      <c r="G3" s="31"/>
      <c r="H3" s="26"/>
      <c r="I3" s="59"/>
      <c r="J3" s="60"/>
      <c r="K3" s="60"/>
      <c r="L3" s="60"/>
      <c r="M3" s="61"/>
      <c r="N3" s="31"/>
      <c r="O3" s="62"/>
      <c r="P3" s="63"/>
      <c r="Q3" s="85"/>
      <c r="R3" s="86"/>
      <c r="S3" s="31"/>
      <c r="T3" s="31"/>
    </row>
    <row r="4" spans="1:20">
      <c r="A4" s="26"/>
      <c r="B4" s="32"/>
      <c r="C4" s="32"/>
      <c r="D4" s="26"/>
      <c r="E4" s="26"/>
      <c r="F4" s="26"/>
      <c r="G4" s="26"/>
      <c r="H4" s="26"/>
      <c r="I4" s="26"/>
      <c r="J4" s="26"/>
      <c r="K4" s="26"/>
      <c r="L4" s="26"/>
      <c r="M4" s="32"/>
      <c r="N4" s="26"/>
      <c r="O4" s="64"/>
      <c r="P4" s="65"/>
      <c r="Q4" s="64"/>
      <c r="R4" s="64"/>
      <c r="S4" s="26"/>
      <c r="T4" s="26"/>
    </row>
    <row r="5" s="8" customFormat="1" ht="14.4" spans="1:20">
      <c r="A5" s="33" t="s">
        <v>108</v>
      </c>
      <c r="B5" s="34" t="s">
        <v>109</v>
      </c>
      <c r="C5" s="34" t="s">
        <v>110</v>
      </c>
      <c r="D5" s="33" t="s">
        <v>111</v>
      </c>
      <c r="E5" s="35" t="s">
        <v>112</v>
      </c>
      <c r="F5" s="35" t="s">
        <v>113</v>
      </c>
      <c r="G5" s="33" t="s">
        <v>114</v>
      </c>
      <c r="H5" s="33" t="s">
        <v>115</v>
      </c>
      <c r="I5" s="66" t="s">
        <v>116</v>
      </c>
      <c r="J5" s="35" t="s">
        <v>117</v>
      </c>
      <c r="K5" s="35" t="s">
        <v>118</v>
      </c>
      <c r="L5" s="35" t="s">
        <v>119</v>
      </c>
      <c r="M5" s="67" t="s">
        <v>120</v>
      </c>
      <c r="N5" s="35" t="s">
        <v>121</v>
      </c>
      <c r="O5" s="33" t="s">
        <v>122</v>
      </c>
      <c r="P5" s="68" t="s">
        <v>123</v>
      </c>
      <c r="Q5" s="35" t="s">
        <v>124</v>
      </c>
      <c r="R5" s="87" t="s">
        <v>125</v>
      </c>
      <c r="S5" s="87" t="s">
        <v>126</v>
      </c>
      <c r="T5" s="87" t="s">
        <v>127</v>
      </c>
    </row>
    <row r="6" s="8" customFormat="1" ht="14.4" spans="1:20">
      <c r="A6" s="36" t="str">
        <f>$E$3</f>
        <v>FR003WM2A001E001</v>
      </c>
      <c r="B6" s="37" t="s">
        <v>128</v>
      </c>
      <c r="C6" s="280" t="s">
        <v>129</v>
      </c>
      <c r="D6" s="39" t="s">
        <v>130</v>
      </c>
      <c r="E6" s="39"/>
      <c r="F6" s="39" t="s">
        <v>131</v>
      </c>
      <c r="G6" s="39" t="s">
        <v>132</v>
      </c>
      <c r="H6" s="40" t="s">
        <v>132</v>
      </c>
      <c r="I6" s="39" t="s">
        <v>131</v>
      </c>
      <c r="J6" s="39" t="s">
        <v>131</v>
      </c>
      <c r="K6" s="39" t="s">
        <v>131</v>
      </c>
      <c r="L6" s="39" t="s">
        <v>131</v>
      </c>
      <c r="M6" s="41" t="s">
        <v>131</v>
      </c>
      <c r="N6" s="39" t="s">
        <v>131</v>
      </c>
      <c r="O6" s="69" t="s">
        <v>131</v>
      </c>
      <c r="P6" s="70"/>
      <c r="Q6" s="88" t="s">
        <v>131</v>
      </c>
      <c r="R6" s="89" t="s">
        <v>131</v>
      </c>
      <c r="S6" s="90" t="s">
        <v>131</v>
      </c>
      <c r="T6" s="91" t="s">
        <v>131</v>
      </c>
    </row>
    <row r="7" s="8" customFormat="1" ht="14.4" spans="1:20">
      <c r="A7" s="36" t="str">
        <f t="shared" ref="A7:A16" si="0">$E$3</f>
        <v>FR003WM2A001E001</v>
      </c>
      <c r="B7" s="37" t="s">
        <v>133</v>
      </c>
      <c r="C7" s="281" t="s">
        <v>134</v>
      </c>
      <c r="D7" s="39" t="s">
        <v>135</v>
      </c>
      <c r="E7" s="39" t="s">
        <v>131</v>
      </c>
      <c r="F7" s="39" t="s">
        <v>131</v>
      </c>
      <c r="G7" s="39" t="s">
        <v>136</v>
      </c>
      <c r="H7" s="40" t="s">
        <v>137</v>
      </c>
      <c r="I7" s="39" t="s">
        <v>131</v>
      </c>
      <c r="J7" s="39" t="s">
        <v>131</v>
      </c>
      <c r="K7" s="39" t="s">
        <v>131</v>
      </c>
      <c r="L7" s="39" t="s">
        <v>131</v>
      </c>
      <c r="M7" s="41" t="s">
        <v>131</v>
      </c>
      <c r="N7" s="39" t="s">
        <v>131</v>
      </c>
      <c r="O7" s="69" t="s">
        <v>131</v>
      </c>
      <c r="P7" s="70"/>
      <c r="Q7" s="88" t="s">
        <v>131</v>
      </c>
      <c r="R7" s="89" t="s">
        <v>131</v>
      </c>
      <c r="S7" s="90" t="s">
        <v>131</v>
      </c>
      <c r="T7" s="91" t="s">
        <v>131</v>
      </c>
    </row>
    <row r="8" s="9" customFormat="1" ht="14.4" spans="1:20">
      <c r="A8" s="42" t="str">
        <f t="shared" si="0"/>
        <v>FR003WM2A001E001</v>
      </c>
      <c r="B8" s="43" t="s">
        <v>47</v>
      </c>
      <c r="C8" s="282" t="s">
        <v>138</v>
      </c>
      <c r="D8" s="44" t="s">
        <v>139</v>
      </c>
      <c r="E8" s="44" t="s">
        <v>131</v>
      </c>
      <c r="F8" s="44" t="s">
        <v>131</v>
      </c>
      <c r="G8" s="44" t="s">
        <v>132</v>
      </c>
      <c r="H8" s="45" t="s">
        <v>140</v>
      </c>
      <c r="I8" s="44" t="s">
        <v>131</v>
      </c>
      <c r="J8" s="44" t="s">
        <v>131</v>
      </c>
      <c r="K8" s="44" t="s">
        <v>131</v>
      </c>
      <c r="L8" s="44" t="s">
        <v>141</v>
      </c>
      <c r="M8" s="43" t="s">
        <v>131</v>
      </c>
      <c r="N8" s="44" t="s">
        <v>131</v>
      </c>
      <c r="O8" s="71" t="s">
        <v>131</v>
      </c>
      <c r="P8" s="72"/>
      <c r="Q8" s="92" t="s">
        <v>131</v>
      </c>
      <c r="R8" s="93" t="s">
        <v>131</v>
      </c>
      <c r="S8" s="94" t="s">
        <v>131</v>
      </c>
      <c r="T8" s="95" t="s">
        <v>131</v>
      </c>
    </row>
    <row r="9" s="9" customFormat="1" ht="14.4" spans="1:20">
      <c r="A9" s="42" t="str">
        <f t="shared" si="0"/>
        <v>FR003WM2A001E001</v>
      </c>
      <c r="B9" s="43" t="s">
        <v>47</v>
      </c>
      <c r="C9" s="282" t="s">
        <v>142</v>
      </c>
      <c r="D9" s="44" t="s">
        <v>143</v>
      </c>
      <c r="E9" s="44"/>
      <c r="F9" s="44" t="s">
        <v>131</v>
      </c>
      <c r="G9" s="44" t="s">
        <v>144</v>
      </c>
      <c r="H9" s="45" t="s">
        <v>145</v>
      </c>
      <c r="I9" s="44" t="s">
        <v>131</v>
      </c>
      <c r="J9" s="44" t="s">
        <v>131</v>
      </c>
      <c r="K9" s="44" t="s">
        <v>131</v>
      </c>
      <c r="L9" s="73" t="s">
        <v>131</v>
      </c>
      <c r="M9" s="43" t="s">
        <v>146</v>
      </c>
      <c r="N9" s="44" t="str">
        <f>"ETD_S10001_"&amp;'Check list'!E7</f>
        <v>ETD_S10001_FR003WM2A001E001</v>
      </c>
      <c r="O9" s="71"/>
      <c r="P9" s="72"/>
      <c r="Q9" s="92" t="s">
        <v>131</v>
      </c>
      <c r="R9" s="93" t="s">
        <v>131</v>
      </c>
      <c r="S9" s="94" t="s">
        <v>131</v>
      </c>
      <c r="T9" s="95" t="s">
        <v>131</v>
      </c>
    </row>
    <row r="10" s="9" customFormat="1" ht="14.4" spans="1:20">
      <c r="A10" s="42" t="str">
        <f t="shared" si="0"/>
        <v>FR003WM2A001E001</v>
      </c>
      <c r="B10" s="43" t="s">
        <v>47</v>
      </c>
      <c r="C10" s="282" t="s">
        <v>147</v>
      </c>
      <c r="D10" s="44" t="s">
        <v>148</v>
      </c>
      <c r="E10" s="44" t="s">
        <v>131</v>
      </c>
      <c r="F10" s="44" t="s">
        <v>131</v>
      </c>
      <c r="G10" s="44" t="s">
        <v>149</v>
      </c>
      <c r="H10" s="45" t="s">
        <v>150</v>
      </c>
      <c r="I10" s="44" t="s">
        <v>131</v>
      </c>
      <c r="J10" s="44" t="s">
        <v>131</v>
      </c>
      <c r="K10" s="44" t="s">
        <v>131</v>
      </c>
      <c r="L10" s="44" t="s">
        <v>151</v>
      </c>
      <c r="M10" s="43"/>
      <c r="N10" s="44" t="s">
        <v>131</v>
      </c>
      <c r="O10" s="71" t="s">
        <v>152</v>
      </c>
      <c r="P10" s="283" t="s">
        <v>142</v>
      </c>
      <c r="Q10" s="92" t="s">
        <v>131</v>
      </c>
      <c r="R10" s="93" t="s">
        <v>131</v>
      </c>
      <c r="S10" s="94" t="s">
        <v>131</v>
      </c>
      <c r="T10" s="95" t="s">
        <v>131</v>
      </c>
    </row>
    <row r="11" s="9" customFormat="1" ht="14.4" spans="1:20">
      <c r="A11" s="42" t="str">
        <f t="shared" si="0"/>
        <v>FR003WM2A001E001</v>
      </c>
      <c r="B11" s="43" t="s">
        <v>47</v>
      </c>
      <c r="C11" s="282" t="s">
        <v>153</v>
      </c>
      <c r="D11" s="44" t="s">
        <v>154</v>
      </c>
      <c r="E11" s="44" t="str">
        <f>"PECVD S1 SiO2 "&amp;'Check list'!D14&amp;"nm"</f>
        <v>PECVD S1 SiO2 1000nm</v>
      </c>
      <c r="F11" s="44" t="s">
        <v>131</v>
      </c>
      <c r="G11" s="44" t="str">
        <f>'Check list'!E14</f>
        <v>CVD-S1OX1000</v>
      </c>
      <c r="H11" s="45" t="s">
        <v>155</v>
      </c>
      <c r="I11" s="44" t="s">
        <v>131</v>
      </c>
      <c r="J11" s="44" t="s">
        <v>131</v>
      </c>
      <c r="K11" s="44" t="s">
        <v>131</v>
      </c>
      <c r="L11" s="44" t="s">
        <v>131</v>
      </c>
      <c r="M11" s="43" t="s">
        <v>146</v>
      </c>
      <c r="N11" s="44" t="str">
        <f>"ETD_S10002_"&amp;'Check list'!E7</f>
        <v>ETD_S10002_FR003WM2A001E001</v>
      </c>
      <c r="O11" s="71" t="s">
        <v>152</v>
      </c>
      <c r="P11" s="283" t="s">
        <v>142</v>
      </c>
      <c r="Q11" s="92" t="s">
        <v>131</v>
      </c>
      <c r="R11" s="93" t="s">
        <v>131</v>
      </c>
      <c r="S11" s="94" t="s">
        <v>131</v>
      </c>
      <c r="T11" s="95" t="s">
        <v>131</v>
      </c>
    </row>
    <row r="12" s="9" customFormat="1" ht="14.4" spans="1:20">
      <c r="A12" s="42" t="str">
        <f t="shared" si="0"/>
        <v>FR003WM2A001E001</v>
      </c>
      <c r="B12" s="43" t="s">
        <v>47</v>
      </c>
      <c r="C12" s="282" t="s">
        <v>156</v>
      </c>
      <c r="D12" s="44" t="s">
        <v>157</v>
      </c>
      <c r="E12" s="44" t="str">
        <f>"THK S1 SiO2 "&amp;'Check list'!D14&amp;"nm"</f>
        <v>THK S1 SiO2 1000nm</v>
      </c>
      <c r="F12" s="44" t="s">
        <v>131</v>
      </c>
      <c r="G12" s="44" t="str">
        <f>"THK-S1OX"&amp;'Check list'!D14</f>
        <v>THK-S1OX1000</v>
      </c>
      <c r="H12" s="45" t="s">
        <v>158</v>
      </c>
      <c r="I12" s="44" t="s">
        <v>131</v>
      </c>
      <c r="J12" s="44" t="s">
        <v>131</v>
      </c>
      <c r="K12" s="44" t="s">
        <v>131</v>
      </c>
      <c r="L12" s="44" t="s">
        <v>159</v>
      </c>
      <c r="M12" s="43"/>
      <c r="N12" s="44"/>
      <c r="O12" s="71" t="s">
        <v>131</v>
      </c>
      <c r="P12" s="72"/>
      <c r="Q12" s="92" t="s">
        <v>131</v>
      </c>
      <c r="R12" s="93" t="s">
        <v>131</v>
      </c>
      <c r="S12" s="94" t="s">
        <v>131</v>
      </c>
      <c r="T12" s="95" t="s">
        <v>131</v>
      </c>
    </row>
    <row r="13" s="9" customFormat="1" ht="14.4" spans="1:20">
      <c r="A13" s="42" t="str">
        <f t="shared" si="0"/>
        <v>FR003WM2A001E001</v>
      </c>
      <c r="B13" s="43" t="s">
        <v>47</v>
      </c>
      <c r="C13" s="282" t="s">
        <v>160</v>
      </c>
      <c r="D13" s="44" t="s">
        <v>161</v>
      </c>
      <c r="E13" s="44" t="s">
        <v>131</v>
      </c>
      <c r="F13" s="44" t="s">
        <v>131</v>
      </c>
      <c r="G13" s="44" t="s">
        <v>132</v>
      </c>
      <c r="H13" s="45" t="s">
        <v>140</v>
      </c>
      <c r="I13" s="44" t="s">
        <v>131</v>
      </c>
      <c r="J13" s="44" t="s">
        <v>131</v>
      </c>
      <c r="K13" s="44" t="s">
        <v>131</v>
      </c>
      <c r="L13" s="44" t="s">
        <v>162</v>
      </c>
      <c r="M13" s="43"/>
      <c r="N13" s="44" t="s">
        <v>131</v>
      </c>
      <c r="O13" s="71" t="s">
        <v>131</v>
      </c>
      <c r="P13" s="72"/>
      <c r="Q13" s="92" t="s">
        <v>131</v>
      </c>
      <c r="R13" s="93" t="s">
        <v>131</v>
      </c>
      <c r="S13" s="94" t="s">
        <v>131</v>
      </c>
      <c r="T13" s="95" t="s">
        <v>131</v>
      </c>
    </row>
    <row r="14" s="9" customFormat="1" ht="14.4" spans="1:20">
      <c r="A14" s="42" t="str">
        <f t="shared" si="0"/>
        <v>FR003WM2A001E001</v>
      </c>
      <c r="B14" s="43" t="s">
        <v>47</v>
      </c>
      <c r="C14" s="282" t="s">
        <v>163</v>
      </c>
      <c r="D14" s="44" t="s">
        <v>164</v>
      </c>
      <c r="E14" s="44" t="s">
        <v>131</v>
      </c>
      <c r="F14" s="44" t="s">
        <v>131</v>
      </c>
      <c r="G14" s="44" t="s">
        <v>132</v>
      </c>
      <c r="H14" s="45" t="s">
        <v>165</v>
      </c>
      <c r="I14" s="44" t="s">
        <v>131</v>
      </c>
      <c r="J14" s="44" t="s">
        <v>131</v>
      </c>
      <c r="K14" s="44" t="s">
        <v>131</v>
      </c>
      <c r="L14" s="44" t="s">
        <v>166</v>
      </c>
      <c r="M14" s="43"/>
      <c r="N14" s="44"/>
      <c r="O14" s="71" t="s">
        <v>131</v>
      </c>
      <c r="P14" s="72"/>
      <c r="Q14" s="92" t="s">
        <v>131</v>
      </c>
      <c r="R14" s="93" t="s">
        <v>131</v>
      </c>
      <c r="S14" s="94" t="s">
        <v>131</v>
      </c>
      <c r="T14" s="95" t="s">
        <v>131</v>
      </c>
    </row>
    <row r="15" s="9" customFormat="1" ht="14.4" spans="1:20">
      <c r="A15" s="42" t="str">
        <f t="shared" si="0"/>
        <v>FR003WM2A001E001</v>
      </c>
      <c r="B15" s="43" t="s">
        <v>47</v>
      </c>
      <c r="C15" s="282" t="s">
        <v>167</v>
      </c>
      <c r="D15" s="44" t="s">
        <v>168</v>
      </c>
      <c r="E15" s="44" t="s">
        <v>131</v>
      </c>
      <c r="F15" s="44" t="s">
        <v>131</v>
      </c>
      <c r="G15" s="44" t="s">
        <v>132</v>
      </c>
      <c r="H15" s="45" t="s">
        <v>132</v>
      </c>
      <c r="I15" s="44" t="s">
        <v>131</v>
      </c>
      <c r="J15" s="44" t="s">
        <v>131</v>
      </c>
      <c r="K15" s="44" t="s">
        <v>131</v>
      </c>
      <c r="L15" s="44" t="s">
        <v>131</v>
      </c>
      <c r="M15" s="43"/>
      <c r="N15" s="44" t="s">
        <v>131</v>
      </c>
      <c r="O15" s="71" t="s">
        <v>131</v>
      </c>
      <c r="P15" s="72"/>
      <c r="Q15" s="92" t="s">
        <v>131</v>
      </c>
      <c r="R15" s="93" t="s">
        <v>131</v>
      </c>
      <c r="S15" s="94" t="s">
        <v>131</v>
      </c>
      <c r="T15" s="95" t="s">
        <v>131</v>
      </c>
    </row>
    <row r="16" s="9" customFormat="1" ht="14.4" spans="1:20">
      <c r="A16" s="42" t="str">
        <f t="shared" si="0"/>
        <v>FR003WM2A001E001</v>
      </c>
      <c r="B16" s="43" t="s">
        <v>47</v>
      </c>
      <c r="C16" s="282" t="s">
        <v>169</v>
      </c>
      <c r="D16" s="44" t="s">
        <v>170</v>
      </c>
      <c r="E16" s="44" t="s">
        <v>131</v>
      </c>
      <c r="F16" s="44" t="s">
        <v>131</v>
      </c>
      <c r="G16" s="44" t="s">
        <v>171</v>
      </c>
      <c r="H16" s="45" t="s">
        <v>172</v>
      </c>
      <c r="I16" s="44" t="s">
        <v>131</v>
      </c>
      <c r="J16" s="44" t="s">
        <v>131</v>
      </c>
      <c r="K16" s="44" t="s">
        <v>131</v>
      </c>
      <c r="L16" s="44" t="s">
        <v>131</v>
      </c>
      <c r="M16" s="43" t="s">
        <v>146</v>
      </c>
      <c r="N16" s="44" t="str">
        <f>"ETD_S10003_"&amp;'Check list'!E7</f>
        <v>ETD_S10003_FR003WM2A001E001</v>
      </c>
      <c r="O16" s="71"/>
      <c r="P16" s="72"/>
      <c r="Q16" s="92" t="s">
        <v>131</v>
      </c>
      <c r="R16" s="93" t="s">
        <v>131</v>
      </c>
      <c r="S16" s="94" t="s">
        <v>131</v>
      </c>
      <c r="T16" s="95" t="s">
        <v>131</v>
      </c>
    </row>
    <row r="17" s="9" customFormat="1" ht="14.4" spans="1:20">
      <c r="A17" s="42" t="str">
        <f t="shared" ref="A17:A36" si="1">$E$3</f>
        <v>FR003WM2A001E001</v>
      </c>
      <c r="B17" s="43" t="s">
        <v>47</v>
      </c>
      <c r="C17" s="282" t="s">
        <v>173</v>
      </c>
      <c r="D17" s="44" t="s">
        <v>174</v>
      </c>
      <c r="E17" s="44" t="s">
        <v>131</v>
      </c>
      <c r="F17" s="44" t="s">
        <v>131</v>
      </c>
      <c r="G17" s="44" t="str">
        <f>'Check list'!G14</f>
        <v>IP30S1@EF041A-08</v>
      </c>
      <c r="H17" s="45" t="s">
        <v>175</v>
      </c>
      <c r="I17" s="44" t="s">
        <v>131</v>
      </c>
      <c r="J17" s="44" t="str">
        <f>'Check list'!$D$5&amp;"_08"</f>
        <v>EF041A_08</v>
      </c>
      <c r="K17" s="44" t="s">
        <v>131</v>
      </c>
      <c r="L17" s="44" t="s">
        <v>131</v>
      </c>
      <c r="M17" s="43" t="s">
        <v>146</v>
      </c>
      <c r="N17" s="44" t="str">
        <f>"ETD_S10004_"&amp;'Check list'!E7</f>
        <v>ETD_S10004_FR003WM2A001E001</v>
      </c>
      <c r="O17" s="71" t="s">
        <v>152</v>
      </c>
      <c r="P17" s="284" t="s">
        <v>169</v>
      </c>
      <c r="Q17" s="92" t="s">
        <v>131</v>
      </c>
      <c r="R17" s="93" t="s">
        <v>131</v>
      </c>
      <c r="S17" s="94" t="s">
        <v>131</v>
      </c>
      <c r="T17" s="95" t="s">
        <v>131</v>
      </c>
    </row>
    <row r="18" s="9" customFormat="1" ht="14.4" spans="1:20">
      <c r="A18" s="42" t="str">
        <f t="shared" si="1"/>
        <v>FR003WM2A001E001</v>
      </c>
      <c r="B18" s="43" t="s">
        <v>47</v>
      </c>
      <c r="C18" s="282" t="s">
        <v>176</v>
      </c>
      <c r="D18" s="44" t="s">
        <v>177</v>
      </c>
      <c r="E18" s="44" t="s">
        <v>131</v>
      </c>
      <c r="F18" s="44" t="s">
        <v>131</v>
      </c>
      <c r="G18" s="44" t="str">
        <f>'Check list'!$D$5&amp;"/"&amp;'Check list'!$D$5&amp;"_S1_PH_T"</f>
        <v>EF041A/EF041A_S1_PH_T</v>
      </c>
      <c r="H18" s="45" t="s">
        <v>178</v>
      </c>
      <c r="I18" s="44" t="s">
        <v>131</v>
      </c>
      <c r="J18" s="44" t="s">
        <v>131</v>
      </c>
      <c r="K18" s="44" t="s">
        <v>131</v>
      </c>
      <c r="L18" s="44" t="s">
        <v>179</v>
      </c>
      <c r="M18" s="43"/>
      <c r="N18" s="44" t="s">
        <v>131</v>
      </c>
      <c r="O18" s="71" t="s">
        <v>180</v>
      </c>
      <c r="P18" s="284" t="s">
        <v>169</v>
      </c>
      <c r="Q18" s="92" t="s">
        <v>131</v>
      </c>
      <c r="R18" s="93" t="s">
        <v>131</v>
      </c>
      <c r="S18" s="94" t="s">
        <v>131</v>
      </c>
      <c r="T18" s="95" t="s">
        <v>131</v>
      </c>
    </row>
    <row r="19" s="9" customFormat="1" ht="14.4" spans="1:20">
      <c r="A19" s="42" t="str">
        <f t="shared" si="1"/>
        <v>FR003WM2A001E001</v>
      </c>
      <c r="B19" s="43" t="s">
        <v>47</v>
      </c>
      <c r="C19" s="282" t="s">
        <v>181</v>
      </c>
      <c r="D19" s="44" t="s">
        <v>182</v>
      </c>
      <c r="E19" s="44" t="s">
        <v>131</v>
      </c>
      <c r="F19" s="44" t="s">
        <v>131</v>
      </c>
      <c r="G19" s="44" t="str">
        <f>'Check list'!$D$5&amp;"/"&amp;'Check list'!$D$5&amp;"_S1_PH_B"</f>
        <v>EF041A/EF041A_S1_PH_B</v>
      </c>
      <c r="H19" s="45" t="s">
        <v>178</v>
      </c>
      <c r="I19" s="44" t="s">
        <v>131</v>
      </c>
      <c r="J19" s="44" t="s">
        <v>131</v>
      </c>
      <c r="K19" s="44" t="s">
        <v>131</v>
      </c>
      <c r="L19" s="44" t="s">
        <v>183</v>
      </c>
      <c r="M19" s="43"/>
      <c r="N19" s="44" t="s">
        <v>131</v>
      </c>
      <c r="O19" s="71" t="s">
        <v>180</v>
      </c>
      <c r="P19" s="284" t="s">
        <v>169</v>
      </c>
      <c r="Q19" s="92" t="s">
        <v>131</v>
      </c>
      <c r="R19" s="93" t="s">
        <v>131</v>
      </c>
      <c r="S19" s="94" t="s">
        <v>131</v>
      </c>
      <c r="T19" s="95" t="s">
        <v>131</v>
      </c>
    </row>
    <row r="20" s="9" customFormat="1" ht="14.4" spans="1:20">
      <c r="A20" s="42" t="str">
        <f t="shared" si="1"/>
        <v>FR003WM2A001E001</v>
      </c>
      <c r="B20" s="43" t="s">
        <v>47</v>
      </c>
      <c r="C20" s="282" t="s">
        <v>184</v>
      </c>
      <c r="D20" s="44" t="s">
        <v>185</v>
      </c>
      <c r="E20" s="44"/>
      <c r="F20" s="44" t="s">
        <v>131</v>
      </c>
      <c r="G20" s="44" t="s">
        <v>132</v>
      </c>
      <c r="H20" s="45" t="s">
        <v>186</v>
      </c>
      <c r="I20" s="44" t="s">
        <v>131</v>
      </c>
      <c r="J20" s="44" t="s">
        <v>131</v>
      </c>
      <c r="K20" s="44" t="s">
        <v>131</v>
      </c>
      <c r="L20" s="44" t="s">
        <v>131</v>
      </c>
      <c r="M20" s="43"/>
      <c r="N20" s="44" t="s">
        <v>131</v>
      </c>
      <c r="O20" s="71" t="s">
        <v>180</v>
      </c>
      <c r="P20" s="284" t="s">
        <v>169</v>
      </c>
      <c r="Q20" s="92" t="s">
        <v>131</v>
      </c>
      <c r="R20" s="93" t="s">
        <v>131</v>
      </c>
      <c r="S20" s="94" t="s">
        <v>131</v>
      </c>
      <c r="T20" s="95" t="s">
        <v>131</v>
      </c>
    </row>
    <row r="21" s="9" customFormat="1" ht="14.4" spans="1:20">
      <c r="A21" s="42" t="str">
        <f t="shared" si="1"/>
        <v>FR003WM2A001E001</v>
      </c>
      <c r="B21" s="43" t="s">
        <v>47</v>
      </c>
      <c r="C21" s="282" t="s">
        <v>187</v>
      </c>
      <c r="D21" s="44" t="s">
        <v>188</v>
      </c>
      <c r="E21" s="44" t="str">
        <f>"ETCH S1 SiO2 "&amp;'Check list'!D14&amp;"nm"</f>
        <v>ETCH S1 SiO2 1000nm</v>
      </c>
      <c r="F21" s="44" t="s">
        <v>131</v>
      </c>
      <c r="G21" s="44" t="str">
        <f>'Check list'!I14</f>
        <v>ICP-S1OX1000</v>
      </c>
      <c r="H21" s="45" t="s">
        <v>155</v>
      </c>
      <c r="I21" s="44" t="s">
        <v>131</v>
      </c>
      <c r="J21" s="44" t="s">
        <v>131</v>
      </c>
      <c r="K21" s="44" t="s">
        <v>131</v>
      </c>
      <c r="L21" s="44" t="s">
        <v>131</v>
      </c>
      <c r="M21" s="43" t="s">
        <v>189</v>
      </c>
      <c r="N21" s="44" t="str">
        <f>"ETD_S10005_"&amp;'Check list'!E7</f>
        <v>ETD_S10005_FR003WM2A001E001</v>
      </c>
      <c r="O21" s="71"/>
      <c r="P21" s="72"/>
      <c r="Q21" s="92" t="s">
        <v>131</v>
      </c>
      <c r="R21" s="93" t="s">
        <v>131</v>
      </c>
      <c r="S21" s="94" t="s">
        <v>131</v>
      </c>
      <c r="T21" s="95" t="s">
        <v>131</v>
      </c>
    </row>
    <row r="22" s="9" customFormat="1" ht="14.4" spans="1:20">
      <c r="A22" s="42" t="str">
        <f t="shared" si="1"/>
        <v>FR003WM2A001E001</v>
      </c>
      <c r="B22" s="43" t="s">
        <v>47</v>
      </c>
      <c r="C22" s="282" t="s">
        <v>190</v>
      </c>
      <c r="D22" s="44" t="s">
        <v>191</v>
      </c>
      <c r="E22" s="44" t="s">
        <v>131</v>
      </c>
      <c r="F22" s="44" t="s">
        <v>131</v>
      </c>
      <c r="G22" s="44" t="s">
        <v>192</v>
      </c>
      <c r="H22" s="45" t="s">
        <v>193</v>
      </c>
      <c r="I22" s="44" t="s">
        <v>131</v>
      </c>
      <c r="J22" s="44" t="s">
        <v>131</v>
      </c>
      <c r="K22" s="44" t="s">
        <v>131</v>
      </c>
      <c r="L22" s="44" t="s">
        <v>131</v>
      </c>
      <c r="M22" s="43" t="s">
        <v>189</v>
      </c>
      <c r="N22" s="44" t="str">
        <f>"ETD_S10006_"&amp;'Check list'!E7</f>
        <v>ETD_S10006_FR003WM2A001E001</v>
      </c>
      <c r="O22" s="71" t="s">
        <v>194</v>
      </c>
      <c r="P22" s="283" t="s">
        <v>190</v>
      </c>
      <c r="Q22" s="92" t="s">
        <v>131</v>
      </c>
      <c r="R22" s="93" t="s">
        <v>131</v>
      </c>
      <c r="S22" s="94" t="s">
        <v>131</v>
      </c>
      <c r="T22" s="95" t="s">
        <v>131</v>
      </c>
    </row>
    <row r="23" s="9" customFormat="1" ht="14.4" spans="1:20">
      <c r="A23" s="42" t="str">
        <f t="shared" si="1"/>
        <v>FR003WM2A001E001</v>
      </c>
      <c r="B23" s="43" t="s">
        <v>47</v>
      </c>
      <c r="C23" s="282" t="s">
        <v>195</v>
      </c>
      <c r="D23" s="44" t="s">
        <v>196</v>
      </c>
      <c r="E23" s="44" t="s">
        <v>131</v>
      </c>
      <c r="F23" s="44" t="s">
        <v>131</v>
      </c>
      <c r="G23" s="44" t="s">
        <v>197</v>
      </c>
      <c r="H23" s="45" t="s">
        <v>198</v>
      </c>
      <c r="I23" s="44" t="s">
        <v>131</v>
      </c>
      <c r="J23" s="44" t="s">
        <v>131</v>
      </c>
      <c r="K23" s="44" t="s">
        <v>131</v>
      </c>
      <c r="L23" s="44" t="s">
        <v>131</v>
      </c>
      <c r="M23" s="43"/>
      <c r="N23" s="44"/>
      <c r="O23" s="71" t="s">
        <v>131</v>
      </c>
      <c r="P23" s="72"/>
      <c r="Q23" s="92" t="s">
        <v>131</v>
      </c>
      <c r="R23" s="93" t="s">
        <v>131</v>
      </c>
      <c r="S23" s="94" t="s">
        <v>131</v>
      </c>
      <c r="T23" s="95" t="s">
        <v>131</v>
      </c>
    </row>
    <row r="24" s="9" customFormat="1" ht="14.4" spans="1:20">
      <c r="A24" s="42" t="str">
        <f t="shared" si="1"/>
        <v>FR003WM2A001E001</v>
      </c>
      <c r="B24" s="43" t="s">
        <v>47</v>
      </c>
      <c r="C24" s="282" t="s">
        <v>199</v>
      </c>
      <c r="D24" s="44" t="s">
        <v>200</v>
      </c>
      <c r="E24" s="44" t="s">
        <v>131</v>
      </c>
      <c r="F24" s="44" t="s">
        <v>131</v>
      </c>
      <c r="G24" s="44" t="str">
        <f>"PRF-"&amp;'Check list'!$D$5&amp;"S1"</f>
        <v>PRF-EF041AS1</v>
      </c>
      <c r="H24" s="45" t="s">
        <v>201</v>
      </c>
      <c r="I24" s="44" t="s">
        <v>131</v>
      </c>
      <c r="J24" s="44" t="s">
        <v>131</v>
      </c>
      <c r="K24" s="44" t="s">
        <v>131</v>
      </c>
      <c r="L24" s="44" t="s">
        <v>202</v>
      </c>
      <c r="M24" s="43" t="s">
        <v>203</v>
      </c>
      <c r="N24" s="75" t="str">
        <f>"ETD_S10007_"&amp;'Check list'!E7</f>
        <v>ETD_S10007_FR003WM2A001E001</v>
      </c>
      <c r="O24" s="71" t="s">
        <v>204</v>
      </c>
      <c r="P24" s="283" t="s">
        <v>190</v>
      </c>
      <c r="Q24" s="92" t="s">
        <v>131</v>
      </c>
      <c r="R24" s="93" t="s">
        <v>131</v>
      </c>
      <c r="S24" s="94" t="s">
        <v>131</v>
      </c>
      <c r="T24" s="95" t="s">
        <v>131</v>
      </c>
    </row>
    <row r="25" s="9" customFormat="1" ht="14.4" spans="1:20">
      <c r="A25" s="42" t="str">
        <f t="shared" si="1"/>
        <v>FR003WM2A001E001</v>
      </c>
      <c r="B25" s="43" t="s">
        <v>47</v>
      </c>
      <c r="C25" s="282" t="s">
        <v>205</v>
      </c>
      <c r="D25" s="44" t="s">
        <v>206</v>
      </c>
      <c r="E25" s="44" t="s">
        <v>131</v>
      </c>
      <c r="F25" s="44" t="s">
        <v>131</v>
      </c>
      <c r="G25" s="44" t="str">
        <f>'Check list'!$D$5&amp;"/"&amp;'Check list'!$D$5&amp;"_S1_ET_T"</f>
        <v>EF041A/EF041A_S1_ET_T</v>
      </c>
      <c r="H25" s="45" t="s">
        <v>178</v>
      </c>
      <c r="I25" s="44" t="s">
        <v>131</v>
      </c>
      <c r="J25" s="44" t="s">
        <v>131</v>
      </c>
      <c r="K25" s="44" t="s">
        <v>131</v>
      </c>
      <c r="L25" s="44" t="s">
        <v>207</v>
      </c>
      <c r="M25" s="43"/>
      <c r="N25" s="44" t="s">
        <v>131</v>
      </c>
      <c r="O25" s="71" t="s">
        <v>204</v>
      </c>
      <c r="P25" s="283" t="s">
        <v>190</v>
      </c>
      <c r="Q25" s="92" t="s">
        <v>131</v>
      </c>
      <c r="R25" s="93" t="s">
        <v>131</v>
      </c>
      <c r="S25" s="94" t="s">
        <v>131</v>
      </c>
      <c r="T25" s="95" t="s">
        <v>131</v>
      </c>
    </row>
    <row r="26" s="9" customFormat="1" ht="14.4" spans="1:20">
      <c r="A26" s="42" t="str">
        <f t="shared" si="1"/>
        <v>FR003WM2A001E001</v>
      </c>
      <c r="B26" s="43" t="s">
        <v>47</v>
      </c>
      <c r="C26" s="282" t="s">
        <v>208</v>
      </c>
      <c r="D26" s="44" t="s">
        <v>209</v>
      </c>
      <c r="E26" s="44" t="s">
        <v>131</v>
      </c>
      <c r="F26" s="44" t="s">
        <v>131</v>
      </c>
      <c r="G26" s="44" t="str">
        <f>'Check list'!$D$5&amp;"/"&amp;'Check list'!$D$5&amp;"_S1_ET_B"</f>
        <v>EF041A/EF041A_S1_ET_B</v>
      </c>
      <c r="H26" s="45" t="s">
        <v>178</v>
      </c>
      <c r="I26" s="44" t="s">
        <v>131</v>
      </c>
      <c r="J26" s="44" t="s">
        <v>131</v>
      </c>
      <c r="K26" s="44" t="s">
        <v>131</v>
      </c>
      <c r="L26" s="44" t="s">
        <v>210</v>
      </c>
      <c r="M26" s="43"/>
      <c r="N26" s="44" t="s">
        <v>131</v>
      </c>
      <c r="O26" s="71" t="s">
        <v>204</v>
      </c>
      <c r="P26" s="283" t="s">
        <v>190</v>
      </c>
      <c r="Q26" s="92" t="s">
        <v>131</v>
      </c>
      <c r="R26" s="93" t="s">
        <v>131</v>
      </c>
      <c r="S26" s="94" t="s">
        <v>131</v>
      </c>
      <c r="T26" s="95" t="s">
        <v>131</v>
      </c>
    </row>
    <row r="27" s="9" customFormat="1" ht="14.4" spans="1:20">
      <c r="A27" s="42" t="str">
        <f t="shared" si="1"/>
        <v>FR003WM2A001E001</v>
      </c>
      <c r="B27" s="43" t="s">
        <v>47</v>
      </c>
      <c r="C27" s="282" t="s">
        <v>211</v>
      </c>
      <c r="D27" s="44" t="s">
        <v>212</v>
      </c>
      <c r="E27" s="44" t="s">
        <v>131</v>
      </c>
      <c r="F27" s="44" t="s">
        <v>131</v>
      </c>
      <c r="G27" s="44" t="s">
        <v>132</v>
      </c>
      <c r="H27" s="45" t="s">
        <v>186</v>
      </c>
      <c r="I27" s="44" t="s">
        <v>131</v>
      </c>
      <c r="J27" s="44" t="s">
        <v>131</v>
      </c>
      <c r="K27" s="44" t="s">
        <v>131</v>
      </c>
      <c r="L27" s="44" t="s">
        <v>131</v>
      </c>
      <c r="M27" s="43"/>
      <c r="N27" s="44" t="s">
        <v>131</v>
      </c>
      <c r="O27" s="71" t="s">
        <v>204</v>
      </c>
      <c r="P27" s="283" t="s">
        <v>190</v>
      </c>
      <c r="Q27" s="92" t="s">
        <v>131</v>
      </c>
      <c r="R27" s="93" t="s">
        <v>131</v>
      </c>
      <c r="S27" s="94" t="s">
        <v>131</v>
      </c>
      <c r="T27" s="95" t="s">
        <v>131</v>
      </c>
    </row>
    <row r="28" s="9" customFormat="1" ht="14.4" spans="1:20">
      <c r="A28" s="42" t="str">
        <f t="shared" si="1"/>
        <v>FR003WM2A001E001</v>
      </c>
      <c r="B28" s="43" t="s">
        <v>47</v>
      </c>
      <c r="C28" s="282" t="s">
        <v>213</v>
      </c>
      <c r="D28" s="44" t="s">
        <v>214</v>
      </c>
      <c r="E28" s="44" t="s">
        <v>131</v>
      </c>
      <c r="F28" s="44" t="s">
        <v>131</v>
      </c>
      <c r="G28" s="44" t="s">
        <v>132</v>
      </c>
      <c r="H28" s="45" t="s">
        <v>215</v>
      </c>
      <c r="I28" s="44" t="s">
        <v>131</v>
      </c>
      <c r="J28" s="44" t="s">
        <v>131</v>
      </c>
      <c r="K28" s="44" t="s">
        <v>131</v>
      </c>
      <c r="L28" s="44" t="s">
        <v>131</v>
      </c>
      <c r="M28" s="43"/>
      <c r="N28" s="44" t="s">
        <v>131</v>
      </c>
      <c r="O28" s="71" t="s">
        <v>216</v>
      </c>
      <c r="P28" s="283" t="s">
        <v>213</v>
      </c>
      <c r="Q28" s="92" t="s">
        <v>131</v>
      </c>
      <c r="R28" s="93" t="s">
        <v>131</v>
      </c>
      <c r="S28" s="94" t="s">
        <v>131</v>
      </c>
      <c r="T28" s="95" t="s">
        <v>131</v>
      </c>
    </row>
    <row r="29" s="10" customFormat="1" ht="14.4" spans="1:20">
      <c r="A29" s="46" t="str">
        <f t="shared" si="1"/>
        <v>FR003WM2A001E001</v>
      </c>
      <c r="B29" s="47" t="s">
        <v>49</v>
      </c>
      <c r="C29" s="285" t="s">
        <v>217</v>
      </c>
      <c r="D29" s="48" t="s">
        <v>218</v>
      </c>
      <c r="E29" s="48" t="s">
        <v>131</v>
      </c>
      <c r="F29" s="48" t="s">
        <v>131</v>
      </c>
      <c r="G29" s="48" t="s">
        <v>132</v>
      </c>
      <c r="H29" s="49" t="s">
        <v>132</v>
      </c>
      <c r="I29" s="48" t="s">
        <v>131</v>
      </c>
      <c r="J29" s="48" t="s">
        <v>131</v>
      </c>
      <c r="K29" s="48" t="s">
        <v>131</v>
      </c>
      <c r="L29" s="48" t="s">
        <v>131</v>
      </c>
      <c r="M29" s="47"/>
      <c r="N29" s="48" t="s">
        <v>131</v>
      </c>
      <c r="O29" s="76" t="s">
        <v>131</v>
      </c>
      <c r="P29" s="77"/>
      <c r="Q29" s="96" t="s">
        <v>131</v>
      </c>
      <c r="R29" s="97" t="s">
        <v>131</v>
      </c>
      <c r="S29" s="98" t="s">
        <v>131</v>
      </c>
      <c r="T29" s="99" t="s">
        <v>131</v>
      </c>
    </row>
    <row r="30" s="10" customFormat="1" ht="14.4" spans="1:20">
      <c r="A30" s="46" t="str">
        <f t="shared" si="1"/>
        <v>FR003WM2A001E001</v>
      </c>
      <c r="B30" s="47" t="s">
        <v>49</v>
      </c>
      <c r="C30" s="285" t="s">
        <v>219</v>
      </c>
      <c r="D30" s="48" t="s">
        <v>170</v>
      </c>
      <c r="E30" s="48" t="s">
        <v>131</v>
      </c>
      <c r="F30" s="48" t="s">
        <v>131</v>
      </c>
      <c r="G30" s="48" t="s">
        <v>171</v>
      </c>
      <c r="H30" s="49" t="s">
        <v>172</v>
      </c>
      <c r="I30" s="48" t="s">
        <v>131</v>
      </c>
      <c r="J30" s="48" t="s">
        <v>131</v>
      </c>
      <c r="K30" s="48" t="s">
        <v>131</v>
      </c>
      <c r="L30" s="48" t="s">
        <v>131</v>
      </c>
      <c r="M30" s="47" t="s">
        <v>146</v>
      </c>
      <c r="N30" s="48" t="str">
        <f>"ETD_U10001_"&amp;'Check list'!E7</f>
        <v>ETD_U10001_FR003WM2A001E001</v>
      </c>
      <c r="O30" s="76"/>
      <c r="P30" s="77"/>
      <c r="Q30" s="96" t="s">
        <v>131</v>
      </c>
      <c r="R30" s="97" t="s">
        <v>131</v>
      </c>
      <c r="S30" s="98" t="s">
        <v>131</v>
      </c>
      <c r="T30" s="99" t="s">
        <v>131</v>
      </c>
    </row>
    <row r="31" s="10" customFormat="1" ht="14.4" spans="1:20">
      <c r="A31" s="46" t="str">
        <f t="shared" si="1"/>
        <v>FR003WM2A001E001</v>
      </c>
      <c r="B31" s="47" t="s">
        <v>49</v>
      </c>
      <c r="C31" s="285" t="s">
        <v>220</v>
      </c>
      <c r="D31" s="48" t="s">
        <v>221</v>
      </c>
      <c r="E31" s="48" t="str">
        <f>"PVD U1 Mo/AlN "&amp;'Check list'!D15&amp;"/60nm"</f>
        <v>PVD U1 Mo/AlN 348/60nm</v>
      </c>
      <c r="F31" s="48" t="s">
        <v>131</v>
      </c>
      <c r="G31" s="48" t="str">
        <f>'Check list'!E15</f>
        <v>PVD-U1MO348N</v>
      </c>
      <c r="H31" s="49" t="s">
        <v>222</v>
      </c>
      <c r="I31" s="48" t="s">
        <v>131</v>
      </c>
      <c r="J31" s="48" t="s">
        <v>131</v>
      </c>
      <c r="K31" s="48" t="s">
        <v>131</v>
      </c>
      <c r="L31" s="48" t="s">
        <v>131</v>
      </c>
      <c r="M31" s="47" t="s">
        <v>203</v>
      </c>
      <c r="N31" s="75" t="str">
        <f>"ETD_U10007_"&amp;'Check list'!E7</f>
        <v>ETD_U10007_FR003WM2A001E001</v>
      </c>
      <c r="O31" s="76" t="s">
        <v>152</v>
      </c>
      <c r="P31" s="286" t="s">
        <v>219</v>
      </c>
      <c r="Q31" s="96" t="s">
        <v>131</v>
      </c>
      <c r="R31" s="97" t="s">
        <v>131</v>
      </c>
      <c r="S31" s="98" t="s">
        <v>131</v>
      </c>
      <c r="T31" s="99" t="s">
        <v>131</v>
      </c>
    </row>
    <row r="32" s="10" customFormat="1" ht="14.4" spans="1:20">
      <c r="A32" s="46" t="str">
        <f t="shared" si="1"/>
        <v>FR003WM2A001E001</v>
      </c>
      <c r="B32" s="47" t="s">
        <v>49</v>
      </c>
      <c r="C32" s="285" t="s">
        <v>223</v>
      </c>
      <c r="D32" s="48" t="s">
        <v>224</v>
      </c>
      <c r="E32" s="48" t="s">
        <v>131</v>
      </c>
      <c r="F32" s="48" t="s">
        <v>131</v>
      </c>
      <c r="G32" s="48" t="s">
        <v>132</v>
      </c>
      <c r="H32" s="49" t="s">
        <v>140</v>
      </c>
      <c r="I32" s="48" t="s">
        <v>131</v>
      </c>
      <c r="J32" s="48" t="s">
        <v>131</v>
      </c>
      <c r="K32" s="48" t="s">
        <v>131</v>
      </c>
      <c r="L32" s="48" t="s">
        <v>225</v>
      </c>
      <c r="M32" s="47"/>
      <c r="N32" s="48" t="s">
        <v>131</v>
      </c>
      <c r="O32" s="76" t="s">
        <v>131</v>
      </c>
      <c r="P32" s="77"/>
      <c r="Q32" s="96" t="s">
        <v>131</v>
      </c>
      <c r="R32" s="97" t="s">
        <v>131</v>
      </c>
      <c r="S32" s="98" t="s">
        <v>131</v>
      </c>
      <c r="T32" s="99" t="s">
        <v>131</v>
      </c>
    </row>
    <row r="33" s="10" customFormat="1" ht="14.4" spans="1:20">
      <c r="A33" s="46" t="str">
        <f t="shared" si="1"/>
        <v>FR003WM2A001E001</v>
      </c>
      <c r="B33" s="47" t="s">
        <v>49</v>
      </c>
      <c r="C33" s="285" t="s">
        <v>226</v>
      </c>
      <c r="D33" s="48" t="s">
        <v>164</v>
      </c>
      <c r="E33" s="48" t="s">
        <v>131</v>
      </c>
      <c r="F33" s="48" t="s">
        <v>131</v>
      </c>
      <c r="G33" s="48" t="s">
        <v>132</v>
      </c>
      <c r="H33" s="49" t="s">
        <v>165</v>
      </c>
      <c r="I33" s="48" t="s">
        <v>131</v>
      </c>
      <c r="J33" s="48" t="s">
        <v>131</v>
      </c>
      <c r="K33" s="48" t="s">
        <v>131</v>
      </c>
      <c r="L33" s="48" t="s">
        <v>227</v>
      </c>
      <c r="M33" s="47"/>
      <c r="N33" s="48" t="s">
        <v>131</v>
      </c>
      <c r="O33" s="76" t="s">
        <v>131</v>
      </c>
      <c r="P33" s="77"/>
      <c r="Q33" s="96" t="s">
        <v>131</v>
      </c>
      <c r="R33" s="97" t="s">
        <v>131</v>
      </c>
      <c r="S33" s="98" t="s">
        <v>131</v>
      </c>
      <c r="T33" s="99" t="s">
        <v>131</v>
      </c>
    </row>
    <row r="34" s="10" customFormat="1" ht="14.4" spans="1:20">
      <c r="A34" s="46" t="str">
        <f t="shared" si="1"/>
        <v>FR003WM2A001E001</v>
      </c>
      <c r="B34" s="47" t="s">
        <v>49</v>
      </c>
      <c r="C34" s="285" t="s">
        <v>228</v>
      </c>
      <c r="D34" s="48" t="s">
        <v>229</v>
      </c>
      <c r="E34" s="48" t="s">
        <v>131</v>
      </c>
      <c r="F34" s="48" t="s">
        <v>131</v>
      </c>
      <c r="G34" s="48" t="s">
        <v>132</v>
      </c>
      <c r="H34" s="49" t="s">
        <v>230</v>
      </c>
      <c r="I34" s="48" t="s">
        <v>131</v>
      </c>
      <c r="J34" s="48" t="s">
        <v>131</v>
      </c>
      <c r="K34" s="48" t="s">
        <v>131</v>
      </c>
      <c r="L34" s="48" t="s">
        <v>231</v>
      </c>
      <c r="M34" s="47"/>
      <c r="N34" s="48" t="s">
        <v>131</v>
      </c>
      <c r="O34" s="76" t="s">
        <v>131</v>
      </c>
      <c r="P34" s="77"/>
      <c r="Q34" s="96" t="s">
        <v>131</v>
      </c>
      <c r="R34" s="97" t="s">
        <v>131</v>
      </c>
      <c r="S34" s="98" t="s">
        <v>131</v>
      </c>
      <c r="T34" s="99" t="s">
        <v>131</v>
      </c>
    </row>
    <row r="35" s="10" customFormat="1" ht="14.4" spans="1:20">
      <c r="A35" s="46" t="str">
        <f t="shared" si="1"/>
        <v>FR003WM2A001E001</v>
      </c>
      <c r="B35" s="47" t="s">
        <v>49</v>
      </c>
      <c r="C35" s="285" t="s">
        <v>232</v>
      </c>
      <c r="D35" s="48" t="s">
        <v>168</v>
      </c>
      <c r="E35" s="48" t="s">
        <v>131</v>
      </c>
      <c r="F35" s="48" t="s">
        <v>131</v>
      </c>
      <c r="G35" s="48" t="s">
        <v>132</v>
      </c>
      <c r="H35" s="49" t="s">
        <v>132</v>
      </c>
      <c r="I35" s="48" t="s">
        <v>131</v>
      </c>
      <c r="J35" s="48" t="s">
        <v>131</v>
      </c>
      <c r="K35" s="48" t="s">
        <v>131</v>
      </c>
      <c r="L35" s="48" t="s">
        <v>131</v>
      </c>
      <c r="M35" s="47"/>
      <c r="N35" s="48" t="s">
        <v>131</v>
      </c>
      <c r="O35" s="76" t="s">
        <v>131</v>
      </c>
      <c r="P35" s="77"/>
      <c r="Q35" s="96" t="s">
        <v>131</v>
      </c>
      <c r="R35" s="97" t="s">
        <v>131</v>
      </c>
      <c r="S35" s="98" t="s">
        <v>131</v>
      </c>
      <c r="T35" s="99" t="s">
        <v>131</v>
      </c>
    </row>
    <row r="36" s="10" customFormat="1" ht="14.4" spans="1:20">
      <c r="A36" s="46" t="str">
        <f t="shared" si="1"/>
        <v>FR003WM2A001E001</v>
      </c>
      <c r="B36" s="47" t="s">
        <v>49</v>
      </c>
      <c r="C36" s="285" t="s">
        <v>233</v>
      </c>
      <c r="D36" s="48" t="s">
        <v>234</v>
      </c>
      <c r="E36" s="48" t="str">
        <f>"THK U1 Mo "&amp;'Check list'!D15&amp;"nm"</f>
        <v>THK U1 Mo 348nm</v>
      </c>
      <c r="F36" s="48"/>
      <c r="G36" s="48" t="str">
        <f>"MTH-"&amp;'Check list'!$D$5&amp;"U1"</f>
        <v>MTH-EF041AU1</v>
      </c>
      <c r="H36" s="49" t="s">
        <v>235</v>
      </c>
      <c r="I36" s="48"/>
      <c r="J36" s="48"/>
      <c r="K36" s="48"/>
      <c r="L36" s="48" t="s">
        <v>236</v>
      </c>
      <c r="M36" s="47"/>
      <c r="N36" s="48"/>
      <c r="O36" s="76"/>
      <c r="P36" s="77"/>
      <c r="Q36" s="96"/>
      <c r="R36" s="97"/>
      <c r="S36" s="98"/>
      <c r="T36" s="99"/>
    </row>
    <row r="37" s="10" customFormat="1" ht="14.4" spans="1:20">
      <c r="A37" s="46" t="str">
        <f t="shared" ref="A37:A57" si="2">$E$3</f>
        <v>FR003WM2A001E001</v>
      </c>
      <c r="B37" s="47" t="s">
        <v>49</v>
      </c>
      <c r="C37" s="285" t="s">
        <v>237</v>
      </c>
      <c r="D37" s="48" t="s">
        <v>170</v>
      </c>
      <c r="E37" s="48" t="s">
        <v>131</v>
      </c>
      <c r="F37" s="48" t="s">
        <v>131</v>
      </c>
      <c r="G37" s="48" t="s">
        <v>171</v>
      </c>
      <c r="H37" s="49" t="s">
        <v>172</v>
      </c>
      <c r="I37" s="48" t="s">
        <v>131</v>
      </c>
      <c r="J37" s="48" t="s">
        <v>131</v>
      </c>
      <c r="K37" s="48" t="s">
        <v>131</v>
      </c>
      <c r="L37" s="48" t="s">
        <v>131</v>
      </c>
      <c r="M37" s="47" t="s">
        <v>146</v>
      </c>
      <c r="N37" s="48" t="str">
        <f>"ETD_U10002_"&amp;'Check list'!E7</f>
        <v>ETD_U10002_FR003WM2A001E001</v>
      </c>
      <c r="O37" s="76"/>
      <c r="P37" s="77"/>
      <c r="Q37" s="96" t="s">
        <v>131</v>
      </c>
      <c r="R37" s="97" t="s">
        <v>131</v>
      </c>
      <c r="S37" s="98" t="s">
        <v>131</v>
      </c>
      <c r="T37" s="99" t="s">
        <v>131</v>
      </c>
    </row>
    <row r="38" s="10" customFormat="1" ht="14.4" spans="1:20">
      <c r="A38" s="46" t="str">
        <f t="shared" si="2"/>
        <v>FR003WM2A001E001</v>
      </c>
      <c r="B38" s="47" t="s">
        <v>49</v>
      </c>
      <c r="C38" s="285" t="s">
        <v>238</v>
      </c>
      <c r="D38" s="48" t="s">
        <v>239</v>
      </c>
      <c r="E38" s="48" t="s">
        <v>131</v>
      </c>
      <c r="F38" s="48" t="s">
        <v>131</v>
      </c>
      <c r="G38" s="48" t="str">
        <f>'Check list'!G15</f>
        <v>IP40U1@EF041A-95</v>
      </c>
      <c r="H38" s="49" t="s">
        <v>175</v>
      </c>
      <c r="I38" s="48" t="s">
        <v>131</v>
      </c>
      <c r="J38" s="48" t="str">
        <f>'Check list'!$D$5&amp;"_95"</f>
        <v>EF041A_95</v>
      </c>
      <c r="K38" s="48" t="s">
        <v>131</v>
      </c>
      <c r="L38" s="48" t="s">
        <v>131</v>
      </c>
      <c r="M38" s="47" t="s">
        <v>146</v>
      </c>
      <c r="N38" s="48" t="str">
        <f>"ETD_U10003_"&amp;'Check list'!E7</f>
        <v>ETD_U10003_FR003WM2A001E001</v>
      </c>
      <c r="O38" s="76" t="s">
        <v>152</v>
      </c>
      <c r="P38" s="287" t="s">
        <v>237</v>
      </c>
      <c r="Q38" s="96" t="s">
        <v>131</v>
      </c>
      <c r="R38" s="97" t="s">
        <v>131</v>
      </c>
      <c r="S38" s="98" t="s">
        <v>131</v>
      </c>
      <c r="T38" s="99" t="s">
        <v>131</v>
      </c>
    </row>
    <row r="39" s="10" customFormat="1" ht="14.4" spans="1:20">
      <c r="A39" s="46" t="str">
        <f t="shared" si="2"/>
        <v>FR003WM2A001E001</v>
      </c>
      <c r="B39" s="47" t="s">
        <v>49</v>
      </c>
      <c r="C39" s="285" t="s">
        <v>240</v>
      </c>
      <c r="D39" s="48" t="s">
        <v>241</v>
      </c>
      <c r="E39" s="48" t="s">
        <v>131</v>
      </c>
      <c r="F39" s="48" t="s">
        <v>131</v>
      </c>
      <c r="G39" s="48" t="str">
        <f>'Check list'!$D$5&amp;"/"&amp;'Check list'!$D$5&amp;"_U1_PH_T"</f>
        <v>EF041A/EF041A_U1_PH_T</v>
      </c>
      <c r="H39" s="49" t="s">
        <v>178</v>
      </c>
      <c r="I39" s="48" t="s">
        <v>131</v>
      </c>
      <c r="J39" s="48" t="s">
        <v>131</v>
      </c>
      <c r="K39" s="48" t="s">
        <v>131</v>
      </c>
      <c r="L39" s="48" t="s">
        <v>242</v>
      </c>
      <c r="M39" s="47"/>
      <c r="N39" s="48" t="s">
        <v>131</v>
      </c>
      <c r="O39" s="76" t="s">
        <v>243</v>
      </c>
      <c r="P39" s="287" t="s">
        <v>237</v>
      </c>
      <c r="Q39" s="96" t="s">
        <v>131</v>
      </c>
      <c r="R39" s="97" t="s">
        <v>131</v>
      </c>
      <c r="S39" s="98" t="s">
        <v>131</v>
      </c>
      <c r="T39" s="99" t="s">
        <v>131</v>
      </c>
    </row>
    <row r="40" s="10" customFormat="1" ht="14.4" spans="1:20">
      <c r="A40" s="46" t="str">
        <f t="shared" si="2"/>
        <v>FR003WM2A001E001</v>
      </c>
      <c r="B40" s="47" t="s">
        <v>49</v>
      </c>
      <c r="C40" s="285" t="s">
        <v>244</v>
      </c>
      <c r="D40" s="48" t="s">
        <v>245</v>
      </c>
      <c r="E40" s="48" t="s">
        <v>131</v>
      </c>
      <c r="F40" s="48" t="s">
        <v>131</v>
      </c>
      <c r="G40" s="48" t="str">
        <f>'Check list'!$D$5&amp;"/"&amp;'Check list'!$D$5&amp;"_U1_PH_B"</f>
        <v>EF041A/EF041A_U1_PH_B</v>
      </c>
      <c r="H40" s="49" t="s">
        <v>178</v>
      </c>
      <c r="I40" s="48" t="s">
        <v>131</v>
      </c>
      <c r="J40" s="48" t="s">
        <v>131</v>
      </c>
      <c r="K40" s="48" t="s">
        <v>131</v>
      </c>
      <c r="L40" s="48" t="s">
        <v>246</v>
      </c>
      <c r="M40" s="47"/>
      <c r="N40" s="48" t="s">
        <v>131</v>
      </c>
      <c r="O40" s="76" t="s">
        <v>243</v>
      </c>
      <c r="P40" s="287" t="s">
        <v>237</v>
      </c>
      <c r="Q40" s="96" t="s">
        <v>131</v>
      </c>
      <c r="R40" s="97" t="s">
        <v>131</v>
      </c>
      <c r="S40" s="98" t="s">
        <v>131</v>
      </c>
      <c r="T40" s="99" t="s">
        <v>131</v>
      </c>
    </row>
    <row r="41" s="10" customFormat="1" ht="14.4" spans="1:20">
      <c r="A41" s="46" t="str">
        <f t="shared" si="2"/>
        <v>FR003WM2A001E001</v>
      </c>
      <c r="B41" s="47" t="s">
        <v>49</v>
      </c>
      <c r="C41" s="285" t="s">
        <v>247</v>
      </c>
      <c r="D41" s="48" t="s">
        <v>248</v>
      </c>
      <c r="E41" s="48" t="s">
        <v>131</v>
      </c>
      <c r="F41" s="48" t="s">
        <v>131</v>
      </c>
      <c r="G41" s="48" t="str">
        <f>"OVL"&amp;'Check list'!$D$5&amp;"-95"</f>
        <v>OVLEF041A-95</v>
      </c>
      <c r="H41" s="49" t="s">
        <v>249</v>
      </c>
      <c r="I41" s="48" t="s">
        <v>131</v>
      </c>
      <c r="J41" s="48" t="s">
        <v>131</v>
      </c>
      <c r="K41" s="48" t="s">
        <v>131</v>
      </c>
      <c r="L41" s="48" t="s">
        <v>250</v>
      </c>
      <c r="M41" s="47"/>
      <c r="N41" s="48" t="s">
        <v>131</v>
      </c>
      <c r="O41" s="76" t="s">
        <v>243</v>
      </c>
      <c r="P41" s="287" t="s">
        <v>237</v>
      </c>
      <c r="Q41" s="96" t="s">
        <v>131</v>
      </c>
      <c r="R41" s="97" t="s">
        <v>131</v>
      </c>
      <c r="S41" s="98" t="s">
        <v>131</v>
      </c>
      <c r="T41" s="99" t="s">
        <v>131</v>
      </c>
    </row>
    <row r="42" s="10" customFormat="1" ht="14.4" spans="1:20">
      <c r="A42" s="46" t="str">
        <f t="shared" si="2"/>
        <v>FR003WM2A001E001</v>
      </c>
      <c r="B42" s="47" t="s">
        <v>49</v>
      </c>
      <c r="C42" s="285" t="s">
        <v>251</v>
      </c>
      <c r="D42" s="48" t="s">
        <v>185</v>
      </c>
      <c r="E42" s="48" t="s">
        <v>131</v>
      </c>
      <c r="F42" s="48" t="s">
        <v>131</v>
      </c>
      <c r="G42" s="48" t="s">
        <v>132</v>
      </c>
      <c r="H42" s="49" t="s">
        <v>186</v>
      </c>
      <c r="I42" s="48" t="s">
        <v>131</v>
      </c>
      <c r="J42" s="48" t="s">
        <v>131</v>
      </c>
      <c r="K42" s="48" t="s">
        <v>131</v>
      </c>
      <c r="L42" s="48" t="s">
        <v>131</v>
      </c>
      <c r="M42" s="47"/>
      <c r="N42" s="48" t="s">
        <v>131</v>
      </c>
      <c r="O42" s="76" t="s">
        <v>243</v>
      </c>
      <c r="P42" s="287" t="s">
        <v>237</v>
      </c>
      <c r="Q42" s="96" t="s">
        <v>131</v>
      </c>
      <c r="R42" s="97" t="s">
        <v>131</v>
      </c>
      <c r="S42" s="98" t="s">
        <v>131</v>
      </c>
      <c r="T42" s="99" t="s">
        <v>131</v>
      </c>
    </row>
    <row r="43" s="10" customFormat="1" ht="14.4" spans="1:20">
      <c r="A43" s="46" t="str">
        <f t="shared" si="2"/>
        <v>FR003WM2A001E001</v>
      </c>
      <c r="B43" s="47" t="s">
        <v>49</v>
      </c>
      <c r="C43" s="285" t="s">
        <v>252</v>
      </c>
      <c r="D43" s="48" t="s">
        <v>253</v>
      </c>
      <c r="E43" s="48" t="str">
        <f>"ETCH U1 Mo "&amp;'Check list'!D15&amp;"nm"</f>
        <v>ETCH U1 Mo 348nm</v>
      </c>
      <c r="F43" s="48" t="s">
        <v>131</v>
      </c>
      <c r="G43" s="48" t="str">
        <f>'Check list'!I15</f>
        <v>ICP-U1MO348N</v>
      </c>
      <c r="H43" s="49" t="s">
        <v>254</v>
      </c>
      <c r="I43" s="48" t="s">
        <v>131</v>
      </c>
      <c r="J43" s="48" t="s">
        <v>131</v>
      </c>
      <c r="K43" s="48" t="s">
        <v>131</v>
      </c>
      <c r="L43" s="48" t="s">
        <v>131</v>
      </c>
      <c r="M43" s="47" t="s">
        <v>189</v>
      </c>
      <c r="N43" s="48" t="str">
        <f>"ETD_U10004_"&amp;'Check list'!E7</f>
        <v>ETD_U10004_FR003WM2A001E001</v>
      </c>
      <c r="O43" s="76"/>
      <c r="P43" s="77"/>
      <c r="Q43" s="96" t="s">
        <v>131</v>
      </c>
      <c r="R43" s="97" t="s">
        <v>131</v>
      </c>
      <c r="S43" s="98" t="s">
        <v>131</v>
      </c>
      <c r="T43" s="99" t="s">
        <v>131</v>
      </c>
    </row>
    <row r="44" s="10" customFormat="1" ht="14.4" spans="1:20">
      <c r="A44" s="46" t="str">
        <f t="shared" si="2"/>
        <v>FR003WM2A001E001</v>
      </c>
      <c r="B44" s="47" t="s">
        <v>49</v>
      </c>
      <c r="C44" s="285" t="s">
        <v>255</v>
      </c>
      <c r="D44" s="48" t="s">
        <v>196</v>
      </c>
      <c r="E44" s="48" t="s">
        <v>131</v>
      </c>
      <c r="F44" s="48" t="s">
        <v>131</v>
      </c>
      <c r="G44" s="48" t="s">
        <v>197</v>
      </c>
      <c r="H44" s="49" t="s">
        <v>198</v>
      </c>
      <c r="I44" s="48" t="s">
        <v>131</v>
      </c>
      <c r="J44" s="48" t="s">
        <v>131</v>
      </c>
      <c r="K44" s="48" t="s">
        <v>131</v>
      </c>
      <c r="L44" s="48" t="s">
        <v>131</v>
      </c>
      <c r="M44" s="47" t="s">
        <v>189</v>
      </c>
      <c r="N44" s="48" t="str">
        <f>"ETD_U10005_"&amp;'Check list'!E7</f>
        <v>ETD_U10005_FR003WM2A001E001</v>
      </c>
      <c r="O44" s="76" t="s">
        <v>256</v>
      </c>
      <c r="P44" s="286" t="s">
        <v>255</v>
      </c>
      <c r="Q44" s="96" t="s">
        <v>131</v>
      </c>
      <c r="R44" s="97" t="s">
        <v>131</v>
      </c>
      <c r="S44" s="98" t="s">
        <v>131</v>
      </c>
      <c r="T44" s="99" t="s">
        <v>131</v>
      </c>
    </row>
    <row r="45" s="10" customFormat="1" ht="14.4" spans="1:20">
      <c r="A45" s="46" t="str">
        <f t="shared" si="2"/>
        <v>FR003WM2A001E001</v>
      </c>
      <c r="B45" s="47" t="s">
        <v>49</v>
      </c>
      <c r="C45" s="285" t="s">
        <v>257</v>
      </c>
      <c r="D45" s="48" t="s">
        <v>191</v>
      </c>
      <c r="E45" s="48" t="s">
        <v>131</v>
      </c>
      <c r="F45" s="48" t="s">
        <v>131</v>
      </c>
      <c r="G45" s="48" t="s">
        <v>258</v>
      </c>
      <c r="H45" s="49" t="s">
        <v>193</v>
      </c>
      <c r="I45" s="48" t="s">
        <v>131</v>
      </c>
      <c r="J45" s="48" t="s">
        <v>131</v>
      </c>
      <c r="K45" s="48" t="s">
        <v>131</v>
      </c>
      <c r="L45" s="48" t="s">
        <v>131</v>
      </c>
      <c r="M45" s="47" t="s">
        <v>189</v>
      </c>
      <c r="N45" s="48" t="str">
        <f>"ETD_U10006_"&amp;'Check list'!E7</f>
        <v>ETD_U10006_FR003WM2A001E001</v>
      </c>
      <c r="O45" s="76" t="s">
        <v>131</v>
      </c>
      <c r="P45" s="77"/>
      <c r="Q45" s="96" t="s">
        <v>131</v>
      </c>
      <c r="R45" s="97" t="s">
        <v>131</v>
      </c>
      <c r="S45" s="98" t="s">
        <v>131</v>
      </c>
      <c r="T45" s="99" t="s">
        <v>131</v>
      </c>
    </row>
    <row r="46" s="10" customFormat="1" ht="14.4" spans="1:20">
      <c r="A46" s="46" t="str">
        <f t="shared" si="2"/>
        <v>FR003WM2A001E001</v>
      </c>
      <c r="B46" s="47" t="s">
        <v>49</v>
      </c>
      <c r="C46" s="285" t="s">
        <v>259</v>
      </c>
      <c r="D46" s="48" t="s">
        <v>170</v>
      </c>
      <c r="E46" s="48" t="s">
        <v>131</v>
      </c>
      <c r="F46" s="48" t="s">
        <v>131</v>
      </c>
      <c r="G46" s="48" t="s">
        <v>171</v>
      </c>
      <c r="H46" s="49" t="s">
        <v>172</v>
      </c>
      <c r="I46" s="48" t="s">
        <v>131</v>
      </c>
      <c r="J46" s="48" t="s">
        <v>131</v>
      </c>
      <c r="K46" s="48" t="s">
        <v>131</v>
      </c>
      <c r="L46" s="48" t="s">
        <v>131</v>
      </c>
      <c r="M46" s="47"/>
      <c r="N46" s="48" t="s">
        <v>131</v>
      </c>
      <c r="O46" s="76" t="s">
        <v>131</v>
      </c>
      <c r="P46" s="77"/>
      <c r="Q46" s="96" t="s">
        <v>131</v>
      </c>
      <c r="R46" s="97" t="s">
        <v>131</v>
      </c>
      <c r="S46" s="98" t="s">
        <v>131</v>
      </c>
      <c r="T46" s="99" t="s">
        <v>131</v>
      </c>
    </row>
    <row r="47" s="10" customFormat="1" ht="14.4" spans="1:20">
      <c r="A47" s="46" t="str">
        <f t="shared" si="2"/>
        <v>FR003WM2A001E001</v>
      </c>
      <c r="B47" s="47" t="s">
        <v>49</v>
      </c>
      <c r="C47" s="285" t="s">
        <v>260</v>
      </c>
      <c r="D47" s="48" t="s">
        <v>261</v>
      </c>
      <c r="E47" s="48" t="s">
        <v>131</v>
      </c>
      <c r="F47" s="48" t="s">
        <v>131</v>
      </c>
      <c r="G47" s="48" t="str">
        <f>"PRF-"&amp;'Check list'!$D$5&amp;"U1"</f>
        <v>PRF-EF041AU1</v>
      </c>
      <c r="H47" s="49" t="s">
        <v>201</v>
      </c>
      <c r="I47" s="48" t="s">
        <v>131</v>
      </c>
      <c r="J47" s="48" t="s">
        <v>131</v>
      </c>
      <c r="K47" s="48" t="s">
        <v>131</v>
      </c>
      <c r="L47" s="48" t="s">
        <v>262</v>
      </c>
      <c r="M47" s="47"/>
      <c r="N47" s="48" t="s">
        <v>131</v>
      </c>
      <c r="O47" s="76" t="s">
        <v>263</v>
      </c>
      <c r="P47" s="286" t="s">
        <v>255</v>
      </c>
      <c r="Q47" s="96" t="s">
        <v>131</v>
      </c>
      <c r="R47" s="97" t="s">
        <v>131</v>
      </c>
      <c r="S47" s="98" t="s">
        <v>131</v>
      </c>
      <c r="T47" s="99" t="s">
        <v>131</v>
      </c>
    </row>
    <row r="48" s="10" customFormat="1" ht="14.4" spans="1:20">
      <c r="A48" s="46" t="str">
        <f t="shared" si="2"/>
        <v>FR003WM2A001E001</v>
      </c>
      <c r="B48" s="47" t="s">
        <v>49</v>
      </c>
      <c r="C48" s="285" t="s">
        <v>264</v>
      </c>
      <c r="D48" s="48" t="s">
        <v>265</v>
      </c>
      <c r="E48" s="48" t="s">
        <v>131</v>
      </c>
      <c r="F48" s="48" t="s">
        <v>131</v>
      </c>
      <c r="G48" s="48" t="str">
        <f>'Check list'!$D$5&amp;"/"&amp;'Check list'!$D$5&amp;"_U1_ET_T"</f>
        <v>EF041A/EF041A_U1_ET_T</v>
      </c>
      <c r="H48" s="49" t="s">
        <v>178</v>
      </c>
      <c r="I48" s="48" t="s">
        <v>131</v>
      </c>
      <c r="J48" s="48" t="s">
        <v>131</v>
      </c>
      <c r="K48" s="48" t="s">
        <v>131</v>
      </c>
      <c r="L48" s="48" t="s">
        <v>266</v>
      </c>
      <c r="M48" s="47"/>
      <c r="N48" s="48" t="s">
        <v>131</v>
      </c>
      <c r="O48" s="76" t="s">
        <v>263</v>
      </c>
      <c r="P48" s="286" t="s">
        <v>255</v>
      </c>
      <c r="Q48" s="96" t="s">
        <v>131</v>
      </c>
      <c r="R48" s="97" t="s">
        <v>131</v>
      </c>
      <c r="S48" s="98" t="s">
        <v>131</v>
      </c>
      <c r="T48" s="99" t="s">
        <v>131</v>
      </c>
    </row>
    <row r="49" s="10" customFormat="1" ht="14.4" spans="1:20">
      <c r="A49" s="46" t="str">
        <f t="shared" si="2"/>
        <v>FR003WM2A001E001</v>
      </c>
      <c r="B49" s="47" t="s">
        <v>49</v>
      </c>
      <c r="C49" s="285" t="s">
        <v>267</v>
      </c>
      <c r="D49" s="48" t="s">
        <v>268</v>
      </c>
      <c r="E49" s="48" t="s">
        <v>131</v>
      </c>
      <c r="F49" s="48" t="s">
        <v>131</v>
      </c>
      <c r="G49" s="48" t="str">
        <f>'Check list'!$D$5&amp;"/"&amp;'Check list'!$D$5&amp;"_U1_ET_B"</f>
        <v>EF041A/EF041A_U1_ET_B</v>
      </c>
      <c r="H49" s="49" t="s">
        <v>178</v>
      </c>
      <c r="I49" s="48" t="s">
        <v>131</v>
      </c>
      <c r="J49" s="48" t="s">
        <v>131</v>
      </c>
      <c r="K49" s="48" t="s">
        <v>131</v>
      </c>
      <c r="L49" s="48" t="s">
        <v>269</v>
      </c>
      <c r="M49" s="47"/>
      <c r="N49" s="48" t="s">
        <v>131</v>
      </c>
      <c r="O49" s="76" t="s">
        <v>263</v>
      </c>
      <c r="P49" s="286" t="s">
        <v>255</v>
      </c>
      <c r="Q49" s="96" t="s">
        <v>131</v>
      </c>
      <c r="R49" s="97" t="s">
        <v>131</v>
      </c>
      <c r="S49" s="98" t="s">
        <v>131</v>
      </c>
      <c r="T49" s="99" t="s">
        <v>131</v>
      </c>
    </row>
    <row r="50" s="10" customFormat="1" ht="14.4" spans="1:20">
      <c r="A50" s="46" t="str">
        <f t="shared" si="2"/>
        <v>FR003WM2A001E001</v>
      </c>
      <c r="B50" s="47" t="s">
        <v>49</v>
      </c>
      <c r="C50" s="285" t="s">
        <v>270</v>
      </c>
      <c r="D50" s="48" t="s">
        <v>212</v>
      </c>
      <c r="E50" s="48" t="s">
        <v>131</v>
      </c>
      <c r="F50" s="48" t="s">
        <v>131</v>
      </c>
      <c r="G50" s="48" t="s">
        <v>132</v>
      </c>
      <c r="H50" s="49" t="s">
        <v>186</v>
      </c>
      <c r="I50" s="48" t="s">
        <v>131</v>
      </c>
      <c r="J50" s="48" t="s">
        <v>131</v>
      </c>
      <c r="K50" s="48" t="s">
        <v>131</v>
      </c>
      <c r="L50" s="48" t="s">
        <v>131</v>
      </c>
      <c r="M50" s="47"/>
      <c r="N50" s="48" t="s">
        <v>131</v>
      </c>
      <c r="O50" s="76" t="s">
        <v>263</v>
      </c>
      <c r="P50" s="286" t="s">
        <v>255</v>
      </c>
      <c r="Q50" s="96" t="s">
        <v>131</v>
      </c>
      <c r="R50" s="97" t="s">
        <v>131</v>
      </c>
      <c r="S50" s="98" t="s">
        <v>131</v>
      </c>
      <c r="T50" s="99" t="s">
        <v>131</v>
      </c>
    </row>
    <row r="51" s="10" customFormat="1" ht="14.4" spans="1:20">
      <c r="A51" s="46" t="str">
        <f t="shared" si="2"/>
        <v>FR003WM2A001E001</v>
      </c>
      <c r="B51" s="47" t="s">
        <v>49</v>
      </c>
      <c r="C51" s="285" t="s">
        <v>271</v>
      </c>
      <c r="D51" s="48" t="s">
        <v>272</v>
      </c>
      <c r="E51" s="48" t="s">
        <v>131</v>
      </c>
      <c r="F51" s="48" t="s">
        <v>131</v>
      </c>
      <c r="G51" s="48" t="s">
        <v>132</v>
      </c>
      <c r="H51" s="49" t="s">
        <v>273</v>
      </c>
      <c r="I51" s="48" t="s">
        <v>131</v>
      </c>
      <c r="J51" s="48" t="s">
        <v>131</v>
      </c>
      <c r="K51" s="48" t="s">
        <v>131</v>
      </c>
      <c r="L51" s="48" t="s">
        <v>274</v>
      </c>
      <c r="M51" s="47"/>
      <c r="N51" s="48" t="s">
        <v>131</v>
      </c>
      <c r="O51" s="76" t="s">
        <v>263</v>
      </c>
      <c r="P51" s="286" t="s">
        <v>255</v>
      </c>
      <c r="Q51" s="96"/>
      <c r="R51" s="97"/>
      <c r="S51" s="98"/>
      <c r="T51" s="99"/>
    </row>
    <row r="52" s="10" customFormat="1" ht="14.4" spans="1:20">
      <c r="A52" s="46" t="str">
        <f t="shared" si="2"/>
        <v>FR003WM2A001E001</v>
      </c>
      <c r="B52" s="47" t="s">
        <v>49</v>
      </c>
      <c r="C52" s="285" t="s">
        <v>275</v>
      </c>
      <c r="D52" s="48" t="s">
        <v>214</v>
      </c>
      <c r="E52" s="48" t="s">
        <v>131</v>
      </c>
      <c r="F52" s="48" t="s">
        <v>131</v>
      </c>
      <c r="G52" s="48" t="s">
        <v>132</v>
      </c>
      <c r="H52" s="49" t="s">
        <v>215</v>
      </c>
      <c r="I52" s="48" t="s">
        <v>131</v>
      </c>
      <c r="J52" s="48" t="s">
        <v>131</v>
      </c>
      <c r="K52" s="48" t="s">
        <v>131</v>
      </c>
      <c r="L52" s="48"/>
      <c r="M52" s="47"/>
      <c r="N52" s="48" t="s">
        <v>131</v>
      </c>
      <c r="O52" s="76" t="s">
        <v>216</v>
      </c>
      <c r="P52" s="286" t="s">
        <v>275</v>
      </c>
      <c r="Q52" s="96" t="s">
        <v>131</v>
      </c>
      <c r="R52" s="97" t="s">
        <v>131</v>
      </c>
      <c r="S52" s="98" t="s">
        <v>131</v>
      </c>
      <c r="T52" s="99" t="s">
        <v>131</v>
      </c>
    </row>
    <row r="53" s="11" customFormat="1" ht="14.4" spans="1:20">
      <c r="A53" s="50" t="str">
        <f t="shared" si="2"/>
        <v>FR003WM2A001E001</v>
      </c>
      <c r="B53" s="51" t="s">
        <v>276</v>
      </c>
      <c r="C53" s="288" t="s">
        <v>277</v>
      </c>
      <c r="D53" s="52" t="s">
        <v>218</v>
      </c>
      <c r="E53" s="52" t="s">
        <v>131</v>
      </c>
      <c r="F53" s="52" t="s">
        <v>131</v>
      </c>
      <c r="G53" s="52" t="s">
        <v>132</v>
      </c>
      <c r="H53" s="53" t="s">
        <v>132</v>
      </c>
      <c r="I53" s="52" t="s">
        <v>131</v>
      </c>
      <c r="J53" s="52" t="s">
        <v>131</v>
      </c>
      <c r="K53" s="52" t="s">
        <v>131</v>
      </c>
      <c r="L53" s="52" t="s">
        <v>131</v>
      </c>
      <c r="M53" s="51"/>
      <c r="N53" s="52" t="s">
        <v>131</v>
      </c>
      <c r="O53" s="79" t="s">
        <v>131</v>
      </c>
      <c r="P53" s="80"/>
      <c r="Q53" s="100" t="s">
        <v>131</v>
      </c>
      <c r="R53" s="101" t="s">
        <v>131</v>
      </c>
      <c r="S53" s="102" t="s">
        <v>131</v>
      </c>
      <c r="T53" s="103" t="s">
        <v>131</v>
      </c>
    </row>
    <row r="54" s="11" customFormat="1" ht="14.4" spans="1:20">
      <c r="A54" s="50" t="str">
        <f t="shared" si="2"/>
        <v>FR003WM2A001E001</v>
      </c>
      <c r="B54" s="51" t="s">
        <v>276</v>
      </c>
      <c r="C54" s="288" t="s">
        <v>278</v>
      </c>
      <c r="D54" s="52" t="s">
        <v>170</v>
      </c>
      <c r="E54" s="52" t="s">
        <v>131</v>
      </c>
      <c r="F54" s="52" t="s">
        <v>131</v>
      </c>
      <c r="G54" s="52" t="s">
        <v>171</v>
      </c>
      <c r="H54" s="53" t="s">
        <v>172</v>
      </c>
      <c r="I54" s="52" t="s">
        <v>131</v>
      </c>
      <c r="J54" s="52" t="s">
        <v>131</v>
      </c>
      <c r="K54" s="52" t="s">
        <v>131</v>
      </c>
      <c r="L54" s="52" t="s">
        <v>131</v>
      </c>
      <c r="M54" s="51" t="s">
        <v>146</v>
      </c>
      <c r="N54" s="52" t="str">
        <f>"ETD_V10001_"&amp;'Check list'!E7</f>
        <v>ETD_V10001_FR003WM2A001E001</v>
      </c>
      <c r="O54" s="79" t="s">
        <v>131</v>
      </c>
      <c r="P54" s="80"/>
      <c r="Q54" s="100" t="s">
        <v>131</v>
      </c>
      <c r="R54" s="101" t="s">
        <v>131</v>
      </c>
      <c r="S54" s="102" t="s">
        <v>131</v>
      </c>
      <c r="T54" s="103" t="s">
        <v>131</v>
      </c>
    </row>
    <row r="55" s="11" customFormat="1" ht="14.4" spans="1:20">
      <c r="A55" s="50" t="str">
        <f t="shared" si="2"/>
        <v>FR003WM2A001E001</v>
      </c>
      <c r="B55" s="51" t="s">
        <v>276</v>
      </c>
      <c r="C55" s="288" t="s">
        <v>279</v>
      </c>
      <c r="D55" s="52" t="s">
        <v>280</v>
      </c>
      <c r="E55" s="54" t="str">
        <f>IF('Check list'!F9="AN","PVD V1 AlN "&amp;'Check list'!D16&amp;"nm","PVD V1 "&amp;TEXT(('Check list'!D9),"0%")&amp;" AlScN "&amp;'Check list'!D16&amp;"nm")</f>
        <v>PVD V1 AlN 1100nm</v>
      </c>
      <c r="F55" s="52" t="s">
        <v>131</v>
      </c>
      <c r="G55" s="52" t="str">
        <f>'Check list'!E16</f>
        <v>PVD-V1AN1100N</v>
      </c>
      <c r="H55" s="53" t="s">
        <v>222</v>
      </c>
      <c r="I55" s="52" t="s">
        <v>131</v>
      </c>
      <c r="J55" s="52" t="s">
        <v>131</v>
      </c>
      <c r="K55" s="52" t="s">
        <v>131</v>
      </c>
      <c r="L55" s="52" t="s">
        <v>131</v>
      </c>
      <c r="M55" s="51" t="s">
        <v>203</v>
      </c>
      <c r="N55" s="75" t="str">
        <f>"ETD_V10007_"&amp;'Check list'!E7</f>
        <v>ETD_V10007_FR003WM2A001E001</v>
      </c>
      <c r="O55" s="79" t="s">
        <v>152</v>
      </c>
      <c r="P55" s="289" t="s">
        <v>278</v>
      </c>
      <c r="Q55" s="100" t="s">
        <v>131</v>
      </c>
      <c r="R55" s="101" t="s">
        <v>131</v>
      </c>
      <c r="S55" s="102" t="s">
        <v>131</v>
      </c>
      <c r="T55" s="103" t="s">
        <v>131</v>
      </c>
    </row>
    <row r="56" s="11" customFormat="1" ht="14.4" spans="1:20">
      <c r="A56" s="50" t="str">
        <f t="shared" si="2"/>
        <v>FR003WM2A001E001</v>
      </c>
      <c r="B56" s="51" t="s">
        <v>276</v>
      </c>
      <c r="C56" s="288" t="s">
        <v>281</v>
      </c>
      <c r="D56" s="52" t="s">
        <v>157</v>
      </c>
      <c r="E56" s="52" t="str">
        <f>IF('Check list'!F9="AN","THK V1 AlN "&amp;'Check list'!D16&amp;"nm","THK V1 "&amp;TEXT(('Check list'!D9),"0%")&amp;" AlScN "&amp;'Check list'!D16&amp;"nm")</f>
        <v>THK V1 AlN 1100nm</v>
      </c>
      <c r="F56" s="52" t="s">
        <v>131</v>
      </c>
      <c r="G56" s="52" t="str">
        <f>"THK-V1"&amp;'Check list'!F9&amp;'Check list'!D16&amp;"N"</f>
        <v>THK-V1AN1100N</v>
      </c>
      <c r="H56" s="53" t="s">
        <v>158</v>
      </c>
      <c r="I56" s="52" t="s">
        <v>131</v>
      </c>
      <c r="J56" s="52" t="s">
        <v>131</v>
      </c>
      <c r="K56" s="52" t="s">
        <v>131</v>
      </c>
      <c r="L56" s="52" t="s">
        <v>282</v>
      </c>
      <c r="M56" s="51"/>
      <c r="N56" s="52" t="s">
        <v>131</v>
      </c>
      <c r="O56" s="79" t="s">
        <v>131</v>
      </c>
      <c r="P56" s="80"/>
      <c r="Q56" s="100" t="s">
        <v>131</v>
      </c>
      <c r="R56" s="101" t="s">
        <v>131</v>
      </c>
      <c r="S56" s="102" t="s">
        <v>131</v>
      </c>
      <c r="T56" s="103" t="s">
        <v>131</v>
      </c>
    </row>
    <row r="57" s="11" customFormat="1" ht="14.4" spans="1:20">
      <c r="A57" s="50" t="str">
        <f t="shared" si="2"/>
        <v>FR003WM2A001E001</v>
      </c>
      <c r="B57" s="51" t="s">
        <v>276</v>
      </c>
      <c r="C57" s="288" t="s">
        <v>283</v>
      </c>
      <c r="D57" s="52" t="s">
        <v>284</v>
      </c>
      <c r="E57" s="52" t="s">
        <v>131</v>
      </c>
      <c r="F57" s="52" t="s">
        <v>131</v>
      </c>
      <c r="G57" s="52" t="s">
        <v>132</v>
      </c>
      <c r="H57" s="53" t="s">
        <v>140</v>
      </c>
      <c r="I57" s="52" t="s">
        <v>131</v>
      </c>
      <c r="J57" s="52" t="s">
        <v>131</v>
      </c>
      <c r="K57" s="52" t="s">
        <v>131</v>
      </c>
      <c r="L57" s="52" t="s">
        <v>285</v>
      </c>
      <c r="M57" s="51"/>
      <c r="N57" s="52" t="s">
        <v>131</v>
      </c>
      <c r="O57" s="79" t="s">
        <v>131</v>
      </c>
      <c r="P57" s="80"/>
      <c r="Q57" s="100" t="s">
        <v>131</v>
      </c>
      <c r="R57" s="101" t="s">
        <v>131</v>
      </c>
      <c r="S57" s="102" t="s">
        <v>131</v>
      </c>
      <c r="T57" s="103" t="s">
        <v>131</v>
      </c>
    </row>
    <row r="58" s="11" customFormat="1" ht="14.4" spans="1:20">
      <c r="A58" s="50" t="str">
        <f t="shared" ref="A58:A78" si="3">$E$3</f>
        <v>FR003WM2A001E001</v>
      </c>
      <c r="B58" s="51" t="s">
        <v>276</v>
      </c>
      <c r="C58" s="288" t="s">
        <v>286</v>
      </c>
      <c r="D58" s="52" t="s">
        <v>164</v>
      </c>
      <c r="E58" s="52" t="s">
        <v>131</v>
      </c>
      <c r="F58" s="52" t="s">
        <v>131</v>
      </c>
      <c r="G58" s="52" t="s">
        <v>132</v>
      </c>
      <c r="H58" s="53" t="s">
        <v>165</v>
      </c>
      <c r="I58" s="52" t="s">
        <v>131</v>
      </c>
      <c r="J58" s="52" t="s">
        <v>131</v>
      </c>
      <c r="K58" s="52" t="s">
        <v>131</v>
      </c>
      <c r="L58" s="52" t="s">
        <v>287</v>
      </c>
      <c r="M58" s="51"/>
      <c r="N58" s="52" t="s">
        <v>131</v>
      </c>
      <c r="O58" s="79" t="s">
        <v>131</v>
      </c>
      <c r="P58" s="80"/>
      <c r="Q58" s="100" t="s">
        <v>131</v>
      </c>
      <c r="R58" s="101" t="s">
        <v>131</v>
      </c>
      <c r="S58" s="102" t="s">
        <v>131</v>
      </c>
      <c r="T58" s="103" t="s">
        <v>131</v>
      </c>
    </row>
    <row r="59" s="11" customFormat="1" ht="14.4" spans="1:20">
      <c r="A59" s="50" t="str">
        <f t="shared" si="3"/>
        <v>FR003WM2A001E001</v>
      </c>
      <c r="B59" s="51" t="s">
        <v>276</v>
      </c>
      <c r="C59" s="288" t="s">
        <v>288</v>
      </c>
      <c r="D59" s="52" t="s">
        <v>289</v>
      </c>
      <c r="E59" s="52" t="s">
        <v>131</v>
      </c>
      <c r="F59" s="52" t="s">
        <v>131</v>
      </c>
      <c r="G59" s="52" t="s">
        <v>132</v>
      </c>
      <c r="H59" s="53" t="s">
        <v>230</v>
      </c>
      <c r="I59" s="52" t="s">
        <v>131</v>
      </c>
      <c r="J59" s="52" t="s">
        <v>131</v>
      </c>
      <c r="K59" s="52" t="s">
        <v>131</v>
      </c>
      <c r="L59" s="52" t="s">
        <v>290</v>
      </c>
      <c r="M59" s="51"/>
      <c r="N59" s="52" t="s">
        <v>131</v>
      </c>
      <c r="O59" s="79" t="s">
        <v>131</v>
      </c>
      <c r="P59" s="80"/>
      <c r="Q59" s="100" t="s">
        <v>131</v>
      </c>
      <c r="R59" s="101" t="s">
        <v>131</v>
      </c>
      <c r="S59" s="102" t="s">
        <v>131</v>
      </c>
      <c r="T59" s="103" t="s">
        <v>131</v>
      </c>
    </row>
    <row r="60" s="11" customFormat="1" ht="14.4" spans="1:20">
      <c r="A60" s="50" t="str">
        <f t="shared" si="3"/>
        <v>FR003WM2A001E001</v>
      </c>
      <c r="B60" s="51" t="s">
        <v>276</v>
      </c>
      <c r="C60" s="288" t="s">
        <v>291</v>
      </c>
      <c r="D60" s="52" t="s">
        <v>168</v>
      </c>
      <c r="E60" s="52" t="s">
        <v>131</v>
      </c>
      <c r="F60" s="52" t="s">
        <v>131</v>
      </c>
      <c r="G60" s="52" t="s">
        <v>132</v>
      </c>
      <c r="H60" s="53" t="s">
        <v>132</v>
      </c>
      <c r="I60" s="52" t="s">
        <v>131</v>
      </c>
      <c r="J60" s="52" t="s">
        <v>131</v>
      </c>
      <c r="K60" s="52" t="s">
        <v>131</v>
      </c>
      <c r="L60" s="52" t="s">
        <v>131</v>
      </c>
      <c r="M60" s="51"/>
      <c r="N60" s="52" t="s">
        <v>131</v>
      </c>
      <c r="O60" s="79" t="s">
        <v>131</v>
      </c>
      <c r="P60" s="80"/>
      <c r="Q60" s="100" t="s">
        <v>131</v>
      </c>
      <c r="R60" s="101" t="s">
        <v>131</v>
      </c>
      <c r="S60" s="102" t="s">
        <v>131</v>
      </c>
      <c r="T60" s="103" t="s">
        <v>131</v>
      </c>
    </row>
    <row r="61" s="12" customFormat="1" ht="14.4" spans="1:20">
      <c r="A61" s="46" t="str">
        <f t="shared" si="3"/>
        <v>FR003WM2A001E001</v>
      </c>
      <c r="B61" s="46" t="s">
        <v>292</v>
      </c>
      <c r="C61" s="290" t="s">
        <v>293</v>
      </c>
      <c r="D61" s="46" t="s">
        <v>170</v>
      </c>
      <c r="E61" s="46"/>
      <c r="F61" s="46"/>
      <c r="G61" s="46" t="s">
        <v>171</v>
      </c>
      <c r="H61" s="46" t="s">
        <v>172</v>
      </c>
      <c r="I61" s="46"/>
      <c r="J61" s="46"/>
      <c r="K61" s="46"/>
      <c r="L61" s="46"/>
      <c r="M61" s="81" t="s">
        <v>146</v>
      </c>
      <c r="N61" s="46" t="str">
        <f>"ETD_B10001_"&amp;'Check list'!E7</f>
        <v>ETD_B10001_FR003WM2A001E001</v>
      </c>
      <c r="O61" s="82"/>
      <c r="P61" s="82"/>
      <c r="Q61" s="46"/>
      <c r="R61" s="46"/>
      <c r="S61" s="46"/>
      <c r="T61" s="46"/>
    </row>
    <row r="62" s="12" customFormat="1" ht="14.4" spans="1:20">
      <c r="A62" s="46" t="str">
        <f t="shared" si="3"/>
        <v>FR003WM2A001E001</v>
      </c>
      <c r="B62" s="46" t="s">
        <v>292</v>
      </c>
      <c r="C62" s="290" t="s">
        <v>294</v>
      </c>
      <c r="D62" s="46" t="s">
        <v>295</v>
      </c>
      <c r="E62" s="46" t="str">
        <f>"PECVD B1 SiO2 "&amp;'Check list'!D18&amp;"nm"</f>
        <v>PECVD B1 SiO2 200nm</v>
      </c>
      <c r="F62" s="46" t="s">
        <v>131</v>
      </c>
      <c r="G62" s="46" t="str">
        <f>'Check list'!E18</f>
        <v>CVD-B1OX200N</v>
      </c>
      <c r="H62" s="46" t="s">
        <v>155</v>
      </c>
      <c r="I62" s="46" t="s">
        <v>131</v>
      </c>
      <c r="J62" s="46" t="s">
        <v>131</v>
      </c>
      <c r="K62" s="46" t="s">
        <v>131</v>
      </c>
      <c r="L62" s="46" t="s">
        <v>131</v>
      </c>
      <c r="M62" s="81" t="s">
        <v>296</v>
      </c>
      <c r="N62" s="83" t="str">
        <f>"ETD_B10006_"&amp;'Check list'!E7</f>
        <v>ETD_B10006_FR003WM2A001E001</v>
      </c>
      <c r="O62" s="82" t="s">
        <v>152</v>
      </c>
      <c r="P62" s="291" t="s">
        <v>293</v>
      </c>
      <c r="Q62" s="46" t="s">
        <v>131</v>
      </c>
      <c r="R62" s="46" t="s">
        <v>131</v>
      </c>
      <c r="S62" s="46" t="s">
        <v>131</v>
      </c>
      <c r="T62" s="46" t="s">
        <v>131</v>
      </c>
    </row>
    <row r="63" s="9" customFormat="1" ht="14.4" spans="1:20">
      <c r="A63" s="42" t="str">
        <f t="shared" si="3"/>
        <v>FR003WM2A001E001</v>
      </c>
      <c r="B63" s="43" t="s">
        <v>52</v>
      </c>
      <c r="C63" s="282" t="s">
        <v>297</v>
      </c>
      <c r="D63" s="44" t="s">
        <v>170</v>
      </c>
      <c r="E63" s="44" t="s">
        <v>131</v>
      </c>
      <c r="F63" s="44" t="s">
        <v>131</v>
      </c>
      <c r="G63" s="44" t="s">
        <v>171</v>
      </c>
      <c r="H63" s="45" t="s">
        <v>172</v>
      </c>
      <c r="I63" s="44" t="s">
        <v>131</v>
      </c>
      <c r="J63" s="44" t="s">
        <v>131</v>
      </c>
      <c r="K63" s="44" t="s">
        <v>131</v>
      </c>
      <c r="L63" s="44" t="s">
        <v>131</v>
      </c>
      <c r="M63" s="43" t="s">
        <v>146</v>
      </c>
      <c r="N63" s="44" t="str">
        <f>"ETD_V10002_"&amp;'Check list'!E7</f>
        <v>ETD_V10002_FR003WM2A001E001</v>
      </c>
      <c r="O63" s="71" t="s">
        <v>131</v>
      </c>
      <c r="P63" s="72"/>
      <c r="Q63" s="92" t="s">
        <v>131</v>
      </c>
      <c r="R63" s="93" t="s">
        <v>131</v>
      </c>
      <c r="S63" s="94" t="s">
        <v>131</v>
      </c>
      <c r="T63" s="95" t="s">
        <v>131</v>
      </c>
    </row>
    <row r="64" s="9" customFormat="1" ht="14.4" spans="1:20">
      <c r="A64" s="42" t="str">
        <f t="shared" si="3"/>
        <v>FR003WM2A001E001</v>
      </c>
      <c r="B64" s="43" t="s">
        <v>52</v>
      </c>
      <c r="C64" s="282" t="s">
        <v>298</v>
      </c>
      <c r="D64" s="44" t="s">
        <v>299</v>
      </c>
      <c r="E64" s="44" t="s">
        <v>131</v>
      </c>
      <c r="F64" s="44" t="s">
        <v>131</v>
      </c>
      <c r="G64" s="44" t="str">
        <f>'Check list'!G16</f>
        <v>IP40V1@EF041A-97</v>
      </c>
      <c r="H64" s="45" t="s">
        <v>175</v>
      </c>
      <c r="I64" s="44" t="s">
        <v>131</v>
      </c>
      <c r="J64" s="44" t="str">
        <f>'Check list'!$D$5&amp;"_97"</f>
        <v>EF041A_97</v>
      </c>
      <c r="K64" s="44" t="s">
        <v>131</v>
      </c>
      <c r="L64" s="44" t="s">
        <v>131</v>
      </c>
      <c r="M64" s="43" t="s">
        <v>146</v>
      </c>
      <c r="N64" s="44" t="str">
        <f>"ETD_V10003_"&amp;'Check list'!E7</f>
        <v>ETD_V10003_FR003WM2A001E001</v>
      </c>
      <c r="O64" s="71" t="s">
        <v>152</v>
      </c>
      <c r="P64" s="72">
        <v>100020</v>
      </c>
      <c r="Q64" s="92" t="s">
        <v>131</v>
      </c>
      <c r="R64" s="93" t="s">
        <v>131</v>
      </c>
      <c r="S64" s="94" t="s">
        <v>131</v>
      </c>
      <c r="T64" s="95" t="s">
        <v>131</v>
      </c>
    </row>
    <row r="65" s="9" customFormat="1" ht="14.4" spans="1:20">
      <c r="A65" s="42" t="str">
        <f t="shared" si="3"/>
        <v>FR003WM2A001E001</v>
      </c>
      <c r="B65" s="43" t="s">
        <v>52</v>
      </c>
      <c r="C65" s="282" t="s">
        <v>300</v>
      </c>
      <c r="D65" s="44" t="s">
        <v>301</v>
      </c>
      <c r="E65" s="44" t="s">
        <v>131</v>
      </c>
      <c r="F65" s="44" t="s">
        <v>131</v>
      </c>
      <c r="G65" s="44" t="str">
        <f>'Check list'!$D$5&amp;"/"&amp;'Check list'!$D$5&amp;"_V1_PH_T"</f>
        <v>EF041A/EF041A_V1_PH_T</v>
      </c>
      <c r="H65" s="45" t="s">
        <v>178</v>
      </c>
      <c r="I65" s="44" t="s">
        <v>131</v>
      </c>
      <c r="J65" s="44" t="s">
        <v>131</v>
      </c>
      <c r="K65" s="44" t="s">
        <v>131</v>
      </c>
      <c r="L65" s="44" t="s">
        <v>302</v>
      </c>
      <c r="M65" s="43"/>
      <c r="N65" s="44" t="s">
        <v>131</v>
      </c>
      <c r="O65" s="71" t="s">
        <v>243</v>
      </c>
      <c r="P65" s="72">
        <v>100020</v>
      </c>
      <c r="Q65" s="92" t="s">
        <v>131</v>
      </c>
      <c r="R65" s="93" t="s">
        <v>131</v>
      </c>
      <c r="S65" s="94" t="s">
        <v>131</v>
      </c>
      <c r="T65" s="95" t="s">
        <v>131</v>
      </c>
    </row>
    <row r="66" s="9" customFormat="1" ht="14.4" spans="1:20">
      <c r="A66" s="42" t="str">
        <f t="shared" si="3"/>
        <v>FR003WM2A001E001</v>
      </c>
      <c r="B66" s="43" t="s">
        <v>52</v>
      </c>
      <c r="C66" s="282" t="s">
        <v>303</v>
      </c>
      <c r="D66" s="44" t="s">
        <v>304</v>
      </c>
      <c r="E66" s="44" t="s">
        <v>131</v>
      </c>
      <c r="F66" s="44" t="s">
        <v>131</v>
      </c>
      <c r="G66" s="44" t="str">
        <f>'Check list'!$D$5&amp;"/"&amp;'Check list'!$D$5&amp;"_V1_PH_B"</f>
        <v>EF041A/EF041A_V1_PH_B</v>
      </c>
      <c r="H66" s="45" t="s">
        <v>178</v>
      </c>
      <c r="I66" s="44" t="s">
        <v>131</v>
      </c>
      <c r="J66" s="44" t="s">
        <v>131</v>
      </c>
      <c r="K66" s="44" t="s">
        <v>131</v>
      </c>
      <c r="L66" s="44" t="s">
        <v>305</v>
      </c>
      <c r="M66" s="43"/>
      <c r="N66" s="44" t="s">
        <v>131</v>
      </c>
      <c r="O66" s="71" t="s">
        <v>243</v>
      </c>
      <c r="P66" s="72">
        <v>100020</v>
      </c>
      <c r="Q66" s="92" t="s">
        <v>131</v>
      </c>
      <c r="R66" s="93" t="s">
        <v>131</v>
      </c>
      <c r="S66" s="94" t="s">
        <v>131</v>
      </c>
      <c r="T66" s="95" t="s">
        <v>131</v>
      </c>
    </row>
    <row r="67" s="9" customFormat="1" ht="14.4" spans="1:20">
      <c r="A67" s="42" t="str">
        <f t="shared" si="3"/>
        <v>FR003WM2A001E001</v>
      </c>
      <c r="B67" s="43" t="s">
        <v>52</v>
      </c>
      <c r="C67" s="282" t="s">
        <v>306</v>
      </c>
      <c r="D67" s="44" t="s">
        <v>248</v>
      </c>
      <c r="E67" s="44" t="s">
        <v>131</v>
      </c>
      <c r="F67" s="44" t="s">
        <v>131</v>
      </c>
      <c r="G67" s="44" t="str">
        <f>"OVL"&amp;'Check list'!$D$5&amp;"-97"</f>
        <v>OVLEF041A-97</v>
      </c>
      <c r="H67" s="45" t="s">
        <v>249</v>
      </c>
      <c r="I67" s="44" t="s">
        <v>131</v>
      </c>
      <c r="J67" s="44" t="s">
        <v>131</v>
      </c>
      <c r="K67" s="44" t="s">
        <v>131</v>
      </c>
      <c r="L67" s="44" t="s">
        <v>307</v>
      </c>
      <c r="M67" s="43"/>
      <c r="N67" s="44" t="s">
        <v>131</v>
      </c>
      <c r="O67" s="71" t="s">
        <v>243</v>
      </c>
      <c r="P67" s="72">
        <v>100020</v>
      </c>
      <c r="Q67" s="92" t="s">
        <v>131</v>
      </c>
      <c r="R67" s="93" t="s">
        <v>131</v>
      </c>
      <c r="S67" s="94" t="s">
        <v>131</v>
      </c>
      <c r="T67" s="95" t="s">
        <v>131</v>
      </c>
    </row>
    <row r="68" s="9" customFormat="1" ht="14.4" spans="1:20">
      <c r="A68" s="42" t="str">
        <f t="shared" si="3"/>
        <v>FR003WM2A001E001</v>
      </c>
      <c r="B68" s="43" t="s">
        <v>52</v>
      </c>
      <c r="C68" s="282" t="s">
        <v>308</v>
      </c>
      <c r="D68" s="44" t="s">
        <v>185</v>
      </c>
      <c r="E68" s="44" t="s">
        <v>131</v>
      </c>
      <c r="F68" s="44" t="s">
        <v>131</v>
      </c>
      <c r="G68" s="44" t="s">
        <v>132</v>
      </c>
      <c r="H68" s="45" t="s">
        <v>186</v>
      </c>
      <c r="I68" s="44" t="s">
        <v>131</v>
      </c>
      <c r="J68" s="44" t="s">
        <v>131</v>
      </c>
      <c r="K68" s="44" t="s">
        <v>131</v>
      </c>
      <c r="L68" s="44" t="s">
        <v>131</v>
      </c>
      <c r="M68" s="43"/>
      <c r="N68" s="44" t="s">
        <v>131</v>
      </c>
      <c r="O68" s="71" t="s">
        <v>243</v>
      </c>
      <c r="P68" s="72">
        <v>100020</v>
      </c>
      <c r="Q68" s="92" t="s">
        <v>131</v>
      </c>
      <c r="R68" s="93" t="s">
        <v>131</v>
      </c>
      <c r="S68" s="94" t="s">
        <v>131</v>
      </c>
      <c r="T68" s="95" t="s">
        <v>131</v>
      </c>
    </row>
    <row r="69" s="9" customFormat="1" ht="14.4" spans="1:20">
      <c r="A69" s="42" t="str">
        <f t="shared" si="3"/>
        <v>FR003WM2A001E001</v>
      </c>
      <c r="B69" s="43" t="s">
        <v>52</v>
      </c>
      <c r="C69" s="282" t="s">
        <v>309</v>
      </c>
      <c r="D69" s="44" t="s">
        <v>310</v>
      </c>
      <c r="E69" s="44" t="str">
        <f>"ETCH B1 SiO2 "&amp;'Check list'!D18&amp;"nm"</f>
        <v>ETCH B1 SiO2 200nm</v>
      </c>
      <c r="F69" s="44" t="s">
        <v>131</v>
      </c>
      <c r="G69" s="44" t="str">
        <f>'Check list'!I16</f>
        <v>ICP-V1OX200N</v>
      </c>
      <c r="H69" s="45" t="s">
        <v>155</v>
      </c>
      <c r="I69" s="44" t="s">
        <v>131</v>
      </c>
      <c r="J69" s="44" t="s">
        <v>131</v>
      </c>
      <c r="K69" s="44" t="s">
        <v>131</v>
      </c>
      <c r="L69" s="44" t="s">
        <v>131</v>
      </c>
      <c r="M69" s="43"/>
      <c r="N69" s="44" t="s">
        <v>131</v>
      </c>
      <c r="O69" s="71"/>
      <c r="P69" s="72"/>
      <c r="Q69" s="92" t="s">
        <v>131</v>
      </c>
      <c r="R69" s="93" t="s">
        <v>131</v>
      </c>
      <c r="S69" s="94" t="s">
        <v>131</v>
      </c>
      <c r="T69" s="95" t="s">
        <v>131</v>
      </c>
    </row>
    <row r="70" s="9" customFormat="1" ht="14.4" spans="1:20">
      <c r="A70" s="42" t="str">
        <f t="shared" si="3"/>
        <v>FR003WM2A001E001</v>
      </c>
      <c r="B70" s="43" t="s">
        <v>52</v>
      </c>
      <c r="C70" s="282" t="s">
        <v>311</v>
      </c>
      <c r="D70" s="44" t="s">
        <v>312</v>
      </c>
      <c r="E70" s="44" t="str">
        <f>IF('Check list'!F9="AN","Etch V1 AlN "&amp;'Check list'!D16&amp;"nm,OE 30~60nm","Etch V1 "&amp;TEXT(('Check list'!D9),"0%")&amp;" AlScN "&amp;'Check list'!D16&amp;"nm,OE 30~60nm")</f>
        <v>Etch V1 AlN 1100nm,OE 30~60nm</v>
      </c>
      <c r="F70" s="44" t="s">
        <v>131</v>
      </c>
      <c r="G70" s="44" t="str">
        <f>'Check list'!I17</f>
        <v>ICP-V1AN1100N</v>
      </c>
      <c r="H70" s="45" t="s">
        <v>254</v>
      </c>
      <c r="I70" s="44" t="s">
        <v>131</v>
      </c>
      <c r="J70" s="44" t="s">
        <v>131</v>
      </c>
      <c r="K70" s="44" t="s">
        <v>131</v>
      </c>
      <c r="L70" s="44" t="s">
        <v>131</v>
      </c>
      <c r="M70" s="113" t="s">
        <v>189</v>
      </c>
      <c r="N70" s="44" t="str">
        <f>"ETD_V10004_"&amp;'Check list'!E7</f>
        <v>ETD_V10004_FR003WM2A001E001</v>
      </c>
      <c r="O70" s="71"/>
      <c r="P70" s="72"/>
      <c r="Q70" s="92" t="s">
        <v>131</v>
      </c>
      <c r="R70" s="93" t="s">
        <v>131</v>
      </c>
      <c r="S70" s="94" t="s">
        <v>131</v>
      </c>
      <c r="T70" s="95" t="s">
        <v>131</v>
      </c>
    </row>
    <row r="71" s="9" customFormat="1" ht="14.4" spans="1:20">
      <c r="A71" s="42" t="str">
        <f t="shared" si="3"/>
        <v>FR003WM2A001E001</v>
      </c>
      <c r="B71" s="43" t="s">
        <v>52</v>
      </c>
      <c r="C71" s="282" t="s">
        <v>313</v>
      </c>
      <c r="D71" s="44" t="s">
        <v>196</v>
      </c>
      <c r="E71" s="44" t="s">
        <v>131</v>
      </c>
      <c r="F71" s="44" t="s">
        <v>131</v>
      </c>
      <c r="G71" s="44" t="s">
        <v>197</v>
      </c>
      <c r="H71" s="45" t="s">
        <v>198</v>
      </c>
      <c r="I71" s="44" t="s">
        <v>131</v>
      </c>
      <c r="J71" s="44" t="s">
        <v>131</v>
      </c>
      <c r="K71" s="44" t="s">
        <v>131</v>
      </c>
      <c r="L71" s="44" t="s">
        <v>131</v>
      </c>
      <c r="M71" s="43" t="s">
        <v>189</v>
      </c>
      <c r="N71" s="44" t="str">
        <f>"ETD_V10005_"&amp;'Check list'!E7</f>
        <v>ETD_V10005_FR003WM2A001E001</v>
      </c>
      <c r="O71" s="71" t="s">
        <v>314</v>
      </c>
      <c r="P71" s="72">
        <v>100180</v>
      </c>
      <c r="Q71" s="92" t="s">
        <v>131</v>
      </c>
      <c r="R71" s="93" t="s">
        <v>131</v>
      </c>
      <c r="S71" s="94" t="s">
        <v>131</v>
      </c>
      <c r="T71" s="95" t="s">
        <v>131</v>
      </c>
    </row>
    <row r="72" s="9" customFormat="1" ht="14.4" spans="1:20">
      <c r="A72" s="42" t="str">
        <f t="shared" si="3"/>
        <v>FR003WM2A001E001</v>
      </c>
      <c r="B72" s="43" t="s">
        <v>52</v>
      </c>
      <c r="C72" s="282" t="s">
        <v>315</v>
      </c>
      <c r="D72" s="44" t="s">
        <v>191</v>
      </c>
      <c r="E72" s="44" t="s">
        <v>131</v>
      </c>
      <c r="F72" s="44" t="s">
        <v>131</v>
      </c>
      <c r="G72" s="44" t="s">
        <v>258</v>
      </c>
      <c r="H72" s="45" t="s">
        <v>193</v>
      </c>
      <c r="I72" s="44" t="s">
        <v>131</v>
      </c>
      <c r="J72" s="44" t="s">
        <v>131</v>
      </c>
      <c r="K72" s="44" t="s">
        <v>131</v>
      </c>
      <c r="L72" s="44" t="s">
        <v>131</v>
      </c>
      <c r="M72" s="43" t="s">
        <v>189</v>
      </c>
      <c r="N72" s="44" t="str">
        <f>"ETD_V10006_"&amp;'Check list'!E7</f>
        <v>ETD_V10006_FR003WM2A001E001</v>
      </c>
      <c r="O72" s="71" t="s">
        <v>131</v>
      </c>
      <c r="P72" s="72"/>
      <c r="Q72" s="92" t="s">
        <v>131</v>
      </c>
      <c r="R72" s="93" t="s">
        <v>131</v>
      </c>
      <c r="S72" s="94" t="s">
        <v>131</v>
      </c>
      <c r="T72" s="95" t="s">
        <v>131</v>
      </c>
    </row>
    <row r="73" s="9" customFormat="1" ht="14.4" spans="1:20">
      <c r="A73" s="42" t="str">
        <f t="shared" si="3"/>
        <v>FR003WM2A001E001</v>
      </c>
      <c r="B73" s="43" t="s">
        <v>52</v>
      </c>
      <c r="C73" s="282" t="s">
        <v>316</v>
      </c>
      <c r="D73" s="44" t="s">
        <v>170</v>
      </c>
      <c r="E73" s="44" t="s">
        <v>131</v>
      </c>
      <c r="F73" s="44" t="s">
        <v>131</v>
      </c>
      <c r="G73" s="44" t="s">
        <v>171</v>
      </c>
      <c r="H73" s="45" t="s">
        <v>172</v>
      </c>
      <c r="I73" s="44" t="s">
        <v>131</v>
      </c>
      <c r="J73" s="44" t="s">
        <v>131</v>
      </c>
      <c r="K73" s="44" t="s">
        <v>131</v>
      </c>
      <c r="L73" s="44" t="s">
        <v>131</v>
      </c>
      <c r="M73" s="43"/>
      <c r="N73" s="44" t="s">
        <v>131</v>
      </c>
      <c r="O73" s="71" t="s">
        <v>131</v>
      </c>
      <c r="P73" s="72"/>
      <c r="Q73" s="92" t="s">
        <v>131</v>
      </c>
      <c r="R73" s="93" t="s">
        <v>131</v>
      </c>
      <c r="S73" s="94" t="s">
        <v>131</v>
      </c>
      <c r="T73" s="95" t="s">
        <v>131</v>
      </c>
    </row>
    <row r="74" s="9" customFormat="1" ht="14.4" spans="1:20">
      <c r="A74" s="42" t="str">
        <f t="shared" si="3"/>
        <v>FR003WM2A001E001</v>
      </c>
      <c r="B74" s="43" t="s">
        <v>52</v>
      </c>
      <c r="C74" s="282" t="s">
        <v>317</v>
      </c>
      <c r="D74" s="44" t="s">
        <v>318</v>
      </c>
      <c r="E74" s="44" t="s">
        <v>131</v>
      </c>
      <c r="F74" s="44" t="s">
        <v>131</v>
      </c>
      <c r="G74" s="44" t="str">
        <f>"PRF-"&amp;'Check list'!$D$5&amp;"V1"</f>
        <v>PRF-EF041AV1</v>
      </c>
      <c r="H74" s="45" t="s">
        <v>201</v>
      </c>
      <c r="I74" s="44" t="s">
        <v>131</v>
      </c>
      <c r="J74" s="44" t="s">
        <v>131</v>
      </c>
      <c r="K74" s="44" t="s">
        <v>131</v>
      </c>
      <c r="L74" s="44" t="s">
        <v>319</v>
      </c>
      <c r="M74" s="43"/>
      <c r="N74" s="44" t="s">
        <v>131</v>
      </c>
      <c r="O74" s="71" t="s">
        <v>320</v>
      </c>
      <c r="P74" s="72">
        <v>100180</v>
      </c>
      <c r="Q74" s="92" t="s">
        <v>131</v>
      </c>
      <c r="R74" s="93" t="s">
        <v>131</v>
      </c>
      <c r="S74" s="94" t="s">
        <v>131</v>
      </c>
      <c r="T74" s="95" t="s">
        <v>131</v>
      </c>
    </row>
    <row r="75" s="9" customFormat="1" ht="14.4" spans="1:20">
      <c r="A75" s="42" t="str">
        <f t="shared" si="3"/>
        <v>FR003WM2A001E001</v>
      </c>
      <c r="B75" s="43" t="s">
        <v>52</v>
      </c>
      <c r="C75" s="282" t="s">
        <v>321</v>
      </c>
      <c r="D75" s="44" t="s">
        <v>322</v>
      </c>
      <c r="E75" s="44" t="s">
        <v>131</v>
      </c>
      <c r="F75" s="44" t="s">
        <v>131</v>
      </c>
      <c r="G75" s="44" t="str">
        <f>'Check list'!$D$5&amp;"/"&amp;'Check list'!$D$5&amp;"_V1_ET_T"</f>
        <v>EF041A/EF041A_V1_ET_T</v>
      </c>
      <c r="H75" s="45" t="s">
        <v>178</v>
      </c>
      <c r="I75" s="44" t="s">
        <v>131</v>
      </c>
      <c r="J75" s="44" t="s">
        <v>131</v>
      </c>
      <c r="K75" s="44" t="s">
        <v>131</v>
      </c>
      <c r="L75" s="44" t="s">
        <v>323</v>
      </c>
      <c r="M75" s="43"/>
      <c r="N75" s="44" t="s">
        <v>131</v>
      </c>
      <c r="O75" s="71" t="s">
        <v>320</v>
      </c>
      <c r="P75" s="72">
        <v>100180</v>
      </c>
      <c r="Q75" s="92" t="s">
        <v>131</v>
      </c>
      <c r="R75" s="93" t="s">
        <v>131</v>
      </c>
      <c r="S75" s="94" t="s">
        <v>131</v>
      </c>
      <c r="T75" s="95" t="s">
        <v>131</v>
      </c>
    </row>
    <row r="76" s="9" customFormat="1" ht="14.4" spans="1:20">
      <c r="A76" s="42" t="str">
        <f t="shared" si="3"/>
        <v>FR003WM2A001E001</v>
      </c>
      <c r="B76" s="43" t="s">
        <v>52</v>
      </c>
      <c r="C76" s="282" t="s">
        <v>324</v>
      </c>
      <c r="D76" s="44" t="s">
        <v>325</v>
      </c>
      <c r="E76" s="44" t="s">
        <v>131</v>
      </c>
      <c r="F76" s="44" t="s">
        <v>131</v>
      </c>
      <c r="G76" s="44" t="str">
        <f>'Check list'!$D$5&amp;"/"&amp;'Check list'!$D$5&amp;"_V1_ET_B"</f>
        <v>EF041A/EF041A_V1_ET_B</v>
      </c>
      <c r="H76" s="45" t="s">
        <v>178</v>
      </c>
      <c r="I76" s="44" t="s">
        <v>131</v>
      </c>
      <c r="J76" s="44" t="s">
        <v>131</v>
      </c>
      <c r="K76" s="44" t="s">
        <v>131</v>
      </c>
      <c r="L76" s="44" t="s">
        <v>326</v>
      </c>
      <c r="M76" s="43"/>
      <c r="N76" s="44" t="s">
        <v>131</v>
      </c>
      <c r="O76" s="71" t="s">
        <v>320</v>
      </c>
      <c r="P76" s="72">
        <v>100180</v>
      </c>
      <c r="Q76" s="92" t="s">
        <v>131</v>
      </c>
      <c r="R76" s="93" t="s">
        <v>131</v>
      </c>
      <c r="S76" s="94" t="s">
        <v>131</v>
      </c>
      <c r="T76" s="95" t="s">
        <v>131</v>
      </c>
    </row>
    <row r="77" s="9" customFormat="1" ht="14.4" spans="1:20">
      <c r="A77" s="42" t="str">
        <f t="shared" si="3"/>
        <v>FR003WM2A001E001</v>
      </c>
      <c r="B77" s="43" t="s">
        <v>52</v>
      </c>
      <c r="C77" s="282" t="s">
        <v>327</v>
      </c>
      <c r="D77" s="44" t="s">
        <v>212</v>
      </c>
      <c r="E77" s="44" t="s">
        <v>131</v>
      </c>
      <c r="F77" s="44" t="s">
        <v>131</v>
      </c>
      <c r="G77" s="44" t="s">
        <v>132</v>
      </c>
      <c r="H77" s="45" t="s">
        <v>186</v>
      </c>
      <c r="I77" s="44" t="s">
        <v>131</v>
      </c>
      <c r="J77" s="44" t="s">
        <v>131</v>
      </c>
      <c r="K77" s="44" t="s">
        <v>131</v>
      </c>
      <c r="L77" s="44" t="s">
        <v>131</v>
      </c>
      <c r="M77" s="43"/>
      <c r="N77" s="44" t="s">
        <v>131</v>
      </c>
      <c r="O77" s="71" t="s">
        <v>320</v>
      </c>
      <c r="P77" s="72">
        <v>100180</v>
      </c>
      <c r="Q77" s="92" t="s">
        <v>131</v>
      </c>
      <c r="R77" s="93" t="s">
        <v>131</v>
      </c>
      <c r="S77" s="94" t="s">
        <v>131</v>
      </c>
      <c r="T77" s="95" t="s">
        <v>131</v>
      </c>
    </row>
    <row r="78" s="9" customFormat="1" ht="14.4" spans="1:20">
      <c r="A78" s="42" t="str">
        <f t="shared" si="3"/>
        <v>FR003WM2A001E001</v>
      </c>
      <c r="B78" s="43" t="s">
        <v>52</v>
      </c>
      <c r="C78" s="282" t="s">
        <v>328</v>
      </c>
      <c r="D78" s="44" t="s">
        <v>329</v>
      </c>
      <c r="E78" s="44" t="s">
        <v>131</v>
      </c>
      <c r="F78" s="44" t="s">
        <v>131</v>
      </c>
      <c r="G78" s="44" t="s">
        <v>132</v>
      </c>
      <c r="H78" s="45" t="s">
        <v>273</v>
      </c>
      <c r="I78" s="44" t="s">
        <v>131</v>
      </c>
      <c r="J78" s="44" t="s">
        <v>131</v>
      </c>
      <c r="K78" s="44" t="s">
        <v>131</v>
      </c>
      <c r="L78" s="44" t="s">
        <v>330</v>
      </c>
      <c r="M78" s="43"/>
      <c r="N78" s="44" t="s">
        <v>131</v>
      </c>
      <c r="O78" s="71" t="s">
        <v>320</v>
      </c>
      <c r="P78" s="72">
        <v>100180</v>
      </c>
      <c r="Q78" s="92"/>
      <c r="R78" s="93"/>
      <c r="S78" s="94"/>
      <c r="T78" s="95"/>
    </row>
    <row r="79" s="9" customFormat="1" ht="14.4" spans="1:20">
      <c r="A79" s="42" t="str">
        <f t="shared" ref="A79:A94" si="4">$E$3</f>
        <v>FR003WM2A001E001</v>
      </c>
      <c r="B79" s="43" t="s">
        <v>52</v>
      </c>
      <c r="C79" s="282" t="s">
        <v>331</v>
      </c>
      <c r="D79" s="44" t="s">
        <v>214</v>
      </c>
      <c r="E79" s="44" t="s">
        <v>131</v>
      </c>
      <c r="F79" s="44" t="s">
        <v>131</v>
      </c>
      <c r="G79" s="44" t="s">
        <v>132</v>
      </c>
      <c r="H79" s="45" t="s">
        <v>215</v>
      </c>
      <c r="I79" s="44" t="s">
        <v>131</v>
      </c>
      <c r="J79" s="44" t="s">
        <v>131</v>
      </c>
      <c r="K79" s="44" t="s">
        <v>131</v>
      </c>
      <c r="L79" s="44"/>
      <c r="M79" s="43"/>
      <c r="N79" s="44" t="s">
        <v>131</v>
      </c>
      <c r="O79" s="71" t="s">
        <v>216</v>
      </c>
      <c r="P79" s="72">
        <v>100340</v>
      </c>
      <c r="Q79" s="92" t="s">
        <v>131</v>
      </c>
      <c r="R79" s="93" t="s">
        <v>131</v>
      </c>
      <c r="S79" s="94" t="s">
        <v>131</v>
      </c>
      <c r="T79" s="95" t="s">
        <v>131</v>
      </c>
    </row>
    <row r="80" s="10" customFormat="1" ht="14.4" spans="1:20">
      <c r="A80" s="46" t="str">
        <f t="shared" si="4"/>
        <v>FR003WM2A001E001</v>
      </c>
      <c r="B80" s="47" t="s">
        <v>55</v>
      </c>
      <c r="C80" s="285" t="s">
        <v>332</v>
      </c>
      <c r="D80" s="48" t="s">
        <v>170</v>
      </c>
      <c r="E80" s="48" t="s">
        <v>131</v>
      </c>
      <c r="F80" s="48" t="s">
        <v>131</v>
      </c>
      <c r="G80" s="48" t="s">
        <v>171</v>
      </c>
      <c r="H80" s="49" t="s">
        <v>172</v>
      </c>
      <c r="I80" s="48" t="s">
        <v>131</v>
      </c>
      <c r="J80" s="48" t="s">
        <v>131</v>
      </c>
      <c r="K80" s="48" t="s">
        <v>131</v>
      </c>
      <c r="L80" s="48" t="s">
        <v>131</v>
      </c>
      <c r="M80" s="47" t="s">
        <v>146</v>
      </c>
      <c r="N80" s="48" t="str">
        <f>"ETD_B10002_"&amp;'Check list'!E7</f>
        <v>ETD_B10002_FR003WM2A001E001</v>
      </c>
      <c r="O80" s="76" t="s">
        <v>131</v>
      </c>
      <c r="P80" s="77"/>
      <c r="Q80" s="96" t="s">
        <v>131</v>
      </c>
      <c r="R80" s="97" t="s">
        <v>131</v>
      </c>
      <c r="S80" s="98" t="s">
        <v>131</v>
      </c>
      <c r="T80" s="99" t="s">
        <v>131</v>
      </c>
    </row>
    <row r="81" s="10" customFormat="1" ht="14.4" spans="1:20">
      <c r="A81" s="46" t="str">
        <f t="shared" si="4"/>
        <v>FR003WM2A001E001</v>
      </c>
      <c r="B81" s="47" t="s">
        <v>55</v>
      </c>
      <c r="C81" s="285" t="s">
        <v>333</v>
      </c>
      <c r="D81" s="48" t="s">
        <v>334</v>
      </c>
      <c r="E81" s="48" t="s">
        <v>131</v>
      </c>
      <c r="F81" s="48" t="s">
        <v>131</v>
      </c>
      <c r="G81" s="48" t="str">
        <f>'Check list'!G18</f>
        <v>IP2000@EF041A-42</v>
      </c>
      <c r="H81" s="49" t="s">
        <v>175</v>
      </c>
      <c r="I81" s="48" t="s">
        <v>131</v>
      </c>
      <c r="J81" s="48" t="str">
        <f>'Check list'!$D$5&amp;"_42"</f>
        <v>EF041A_42</v>
      </c>
      <c r="K81" s="48" t="s">
        <v>131</v>
      </c>
      <c r="L81" s="48" t="s">
        <v>131</v>
      </c>
      <c r="M81" s="47" t="s">
        <v>146</v>
      </c>
      <c r="N81" s="48" t="str">
        <f>"ETD_B10003_"&amp;'Check list'!E7</f>
        <v>ETD_B10003_FR003WM2A001E001</v>
      </c>
      <c r="O81" s="76" t="s">
        <v>152</v>
      </c>
      <c r="P81" s="77">
        <v>120020</v>
      </c>
      <c r="Q81" s="96" t="s">
        <v>131</v>
      </c>
      <c r="R81" s="97" t="s">
        <v>131</v>
      </c>
      <c r="S81" s="98" t="s">
        <v>131</v>
      </c>
      <c r="T81" s="99" t="s">
        <v>131</v>
      </c>
    </row>
    <row r="82" s="10" customFormat="1" ht="14.4" spans="1:20">
      <c r="A82" s="46" t="str">
        <f t="shared" si="4"/>
        <v>FR003WM2A001E001</v>
      </c>
      <c r="B82" s="47" t="s">
        <v>55</v>
      </c>
      <c r="C82" s="285" t="s">
        <v>335</v>
      </c>
      <c r="D82" s="48" t="s">
        <v>336</v>
      </c>
      <c r="E82" s="48"/>
      <c r="F82" s="48"/>
      <c r="G82" s="48" t="str">
        <f>'Check list'!$D$5&amp;"/"&amp;'Check list'!$D$5&amp;"_B1_PH_T"</f>
        <v>EF041A/EF041A_B1_PH_T</v>
      </c>
      <c r="H82" s="49" t="s">
        <v>178</v>
      </c>
      <c r="I82" s="48"/>
      <c r="J82" s="48"/>
      <c r="K82" s="48"/>
      <c r="L82" s="48" t="s">
        <v>337</v>
      </c>
      <c r="M82" s="47"/>
      <c r="N82" s="48"/>
      <c r="O82" s="76" t="s">
        <v>243</v>
      </c>
      <c r="P82" s="77">
        <v>120020</v>
      </c>
      <c r="Q82" s="96"/>
      <c r="R82" s="97"/>
      <c r="S82" s="98"/>
      <c r="T82" s="99"/>
    </row>
    <row r="83" s="10" customFormat="1" ht="14.4" spans="1:20">
      <c r="A83" s="46" t="str">
        <f t="shared" si="4"/>
        <v>FR003WM2A001E001</v>
      </c>
      <c r="B83" s="47" t="s">
        <v>55</v>
      </c>
      <c r="C83" s="285" t="s">
        <v>338</v>
      </c>
      <c r="D83" s="48" t="s">
        <v>339</v>
      </c>
      <c r="E83" s="48" t="s">
        <v>131</v>
      </c>
      <c r="F83" s="48" t="s">
        <v>131</v>
      </c>
      <c r="G83" s="48" t="str">
        <f>'Check list'!$D$5&amp;"/"&amp;'Check list'!$D$5&amp;"_B1_PH_B"</f>
        <v>EF041A/EF041A_B1_PH_B</v>
      </c>
      <c r="H83" s="49" t="s">
        <v>178</v>
      </c>
      <c r="I83" s="48" t="s">
        <v>131</v>
      </c>
      <c r="J83" s="48" t="s">
        <v>131</v>
      </c>
      <c r="K83" s="48" t="s">
        <v>131</v>
      </c>
      <c r="L83" s="48" t="s">
        <v>340</v>
      </c>
      <c r="M83" s="47"/>
      <c r="N83" s="48" t="s">
        <v>131</v>
      </c>
      <c r="O83" s="76" t="s">
        <v>243</v>
      </c>
      <c r="P83" s="77">
        <v>120020</v>
      </c>
      <c r="Q83" s="96" t="s">
        <v>131</v>
      </c>
      <c r="R83" s="97" t="s">
        <v>131</v>
      </c>
      <c r="S83" s="98" t="s">
        <v>131</v>
      </c>
      <c r="T83" s="99" t="s">
        <v>131</v>
      </c>
    </row>
    <row r="84" s="10" customFormat="1" ht="14.4" spans="1:20">
      <c r="A84" s="46" t="str">
        <f t="shared" si="4"/>
        <v>FR003WM2A001E001</v>
      </c>
      <c r="B84" s="47" t="s">
        <v>55</v>
      </c>
      <c r="C84" s="285" t="s">
        <v>341</v>
      </c>
      <c r="D84" s="48" t="s">
        <v>248</v>
      </c>
      <c r="E84" s="48" t="s">
        <v>131</v>
      </c>
      <c r="F84" s="48" t="s">
        <v>131</v>
      </c>
      <c r="G84" s="48" t="str">
        <f>"OVL"&amp;'Check list'!$D$5&amp;"-42"</f>
        <v>OVLEF041A-42</v>
      </c>
      <c r="H84" s="49" t="s">
        <v>249</v>
      </c>
      <c r="I84" s="48" t="s">
        <v>131</v>
      </c>
      <c r="J84" s="48" t="s">
        <v>131</v>
      </c>
      <c r="K84" s="48" t="s">
        <v>131</v>
      </c>
      <c r="L84" s="48" t="s">
        <v>342</v>
      </c>
      <c r="M84" s="47"/>
      <c r="N84" s="48" t="s">
        <v>131</v>
      </c>
      <c r="O84" s="76" t="s">
        <v>243</v>
      </c>
      <c r="P84" s="77">
        <v>120020</v>
      </c>
      <c r="Q84" s="96" t="s">
        <v>131</v>
      </c>
      <c r="R84" s="97" t="s">
        <v>131</v>
      </c>
      <c r="S84" s="98" t="s">
        <v>131</v>
      </c>
      <c r="T84" s="99" t="s">
        <v>131</v>
      </c>
    </row>
    <row r="85" s="10" customFormat="1" ht="14.4" spans="1:20">
      <c r="A85" s="46" t="str">
        <f t="shared" si="4"/>
        <v>FR003WM2A001E001</v>
      </c>
      <c r="B85" s="47" t="s">
        <v>55</v>
      </c>
      <c r="C85" s="285" t="s">
        <v>343</v>
      </c>
      <c r="D85" s="48" t="s">
        <v>185</v>
      </c>
      <c r="E85" s="48" t="s">
        <v>131</v>
      </c>
      <c r="F85" s="48" t="s">
        <v>131</v>
      </c>
      <c r="G85" s="48" t="s">
        <v>132</v>
      </c>
      <c r="H85" s="49" t="s">
        <v>186</v>
      </c>
      <c r="I85" s="48" t="s">
        <v>131</v>
      </c>
      <c r="J85" s="48" t="s">
        <v>131</v>
      </c>
      <c r="K85" s="48" t="s">
        <v>131</v>
      </c>
      <c r="L85" s="48" t="s">
        <v>131</v>
      </c>
      <c r="M85" s="47"/>
      <c r="N85" s="48" t="s">
        <v>131</v>
      </c>
      <c r="O85" s="76" t="s">
        <v>243</v>
      </c>
      <c r="P85" s="77">
        <v>120020</v>
      </c>
      <c r="Q85" s="96" t="s">
        <v>131</v>
      </c>
      <c r="R85" s="97" t="s">
        <v>131</v>
      </c>
      <c r="S85" s="98" t="s">
        <v>131</v>
      </c>
      <c r="T85" s="99" t="s">
        <v>131</v>
      </c>
    </row>
    <row r="86" s="10" customFormat="1" ht="14.4" spans="1:20">
      <c r="A86" s="46" t="str">
        <f t="shared" si="4"/>
        <v>FR003WM2A001E001</v>
      </c>
      <c r="B86" s="47" t="s">
        <v>55</v>
      </c>
      <c r="C86" s="285" t="s">
        <v>344</v>
      </c>
      <c r="D86" s="48" t="s">
        <v>345</v>
      </c>
      <c r="E86" s="48" t="str">
        <f>"ETCH B1 SiO2 "&amp;'Check list'!D18&amp;"nm"</f>
        <v>ETCH B1 SiO2 200nm</v>
      </c>
      <c r="F86" s="48" t="s">
        <v>131</v>
      </c>
      <c r="G86" s="48" t="str">
        <f>'Check list'!I18</f>
        <v>ICP-B1OX200N</v>
      </c>
      <c r="H86" s="49" t="s">
        <v>155</v>
      </c>
      <c r="I86" s="48" t="s">
        <v>131</v>
      </c>
      <c r="J86" s="48" t="s">
        <v>131</v>
      </c>
      <c r="K86" s="48" t="s">
        <v>131</v>
      </c>
      <c r="L86" s="48" t="s">
        <v>131</v>
      </c>
      <c r="M86" s="47" t="s">
        <v>189</v>
      </c>
      <c r="N86" s="48" t="str">
        <f>"ETD_B10004_"&amp;'Check list'!E7</f>
        <v>ETD_B10004_FR003WM2A001E001</v>
      </c>
      <c r="O86" s="76"/>
      <c r="P86" s="77"/>
      <c r="Q86" s="96" t="s">
        <v>131</v>
      </c>
      <c r="R86" s="97" t="s">
        <v>131</v>
      </c>
      <c r="S86" s="98" t="s">
        <v>131</v>
      </c>
      <c r="T86" s="99" t="s">
        <v>131</v>
      </c>
    </row>
    <row r="87" s="10" customFormat="1" ht="14.4" spans="1:20">
      <c r="A87" s="46" t="str">
        <f t="shared" si="4"/>
        <v>FR003WM2A001E001</v>
      </c>
      <c r="B87" s="47" t="s">
        <v>55</v>
      </c>
      <c r="C87" s="285" t="s">
        <v>346</v>
      </c>
      <c r="D87" s="48" t="s">
        <v>191</v>
      </c>
      <c r="E87" s="48" t="s">
        <v>131</v>
      </c>
      <c r="F87" s="48" t="s">
        <v>131</v>
      </c>
      <c r="G87" s="48" t="s">
        <v>258</v>
      </c>
      <c r="H87" s="49" t="s">
        <v>193</v>
      </c>
      <c r="I87" s="48" t="s">
        <v>131</v>
      </c>
      <c r="J87" s="48" t="s">
        <v>131</v>
      </c>
      <c r="K87" s="48" t="s">
        <v>131</v>
      </c>
      <c r="L87" s="48"/>
      <c r="M87" s="114" t="s">
        <v>189</v>
      </c>
      <c r="N87" s="48" t="str">
        <f>"ETD_B10005_"&amp;'Check list'!E7</f>
        <v>ETD_B10005_FR003WM2A001E001</v>
      </c>
      <c r="O87" s="76" t="s">
        <v>131</v>
      </c>
      <c r="P87" s="77"/>
      <c r="Q87" s="96" t="s">
        <v>131</v>
      </c>
      <c r="R87" s="97" t="s">
        <v>131</v>
      </c>
      <c r="S87" s="98" t="s">
        <v>131</v>
      </c>
      <c r="T87" s="99" t="s">
        <v>131</v>
      </c>
    </row>
    <row r="88" s="10" customFormat="1" ht="14.4" spans="1:20">
      <c r="A88" s="46" t="str">
        <f t="shared" si="4"/>
        <v>FR003WM2A001E001</v>
      </c>
      <c r="B88" s="47" t="s">
        <v>55</v>
      </c>
      <c r="C88" s="285" t="s">
        <v>347</v>
      </c>
      <c r="D88" s="48" t="s">
        <v>196</v>
      </c>
      <c r="E88" s="48" t="s">
        <v>131</v>
      </c>
      <c r="F88" s="48" t="s">
        <v>131</v>
      </c>
      <c r="G88" s="48" t="s">
        <v>197</v>
      </c>
      <c r="H88" s="49" t="s">
        <v>198</v>
      </c>
      <c r="I88" s="48" t="s">
        <v>131</v>
      </c>
      <c r="J88" s="48" t="s">
        <v>131</v>
      </c>
      <c r="K88" s="48" t="s">
        <v>131</v>
      </c>
      <c r="L88" s="48" t="s">
        <v>131</v>
      </c>
      <c r="M88" s="114" t="s">
        <v>296</v>
      </c>
      <c r="N88" s="76" t="str">
        <f>"ETD_B10006_"&amp;'Check list'!E7</f>
        <v>ETD_B10006_FR003WM2A001E001</v>
      </c>
      <c r="O88" s="76" t="s">
        <v>131</v>
      </c>
      <c r="P88" s="77"/>
      <c r="Q88" s="96" t="s">
        <v>131</v>
      </c>
      <c r="R88" s="97" t="s">
        <v>131</v>
      </c>
      <c r="S88" s="98" t="s">
        <v>131</v>
      </c>
      <c r="T88" s="99" t="s">
        <v>131</v>
      </c>
    </row>
    <row r="89" s="10" customFormat="1" ht="14.4" spans="1:20">
      <c r="A89" s="46" t="str">
        <f t="shared" si="4"/>
        <v>FR003WM2A001E001</v>
      </c>
      <c r="B89" s="47" t="s">
        <v>55</v>
      </c>
      <c r="C89" s="285" t="s">
        <v>348</v>
      </c>
      <c r="D89" s="48" t="s">
        <v>349</v>
      </c>
      <c r="E89" s="48" t="s">
        <v>131</v>
      </c>
      <c r="F89" s="48" t="s">
        <v>131</v>
      </c>
      <c r="G89" s="48" t="str">
        <f>"PRF-"&amp;'Check list'!$D$5&amp;"B1"</f>
        <v>PRF-EF041AB1</v>
      </c>
      <c r="H89" s="49" t="s">
        <v>201</v>
      </c>
      <c r="I89" s="48" t="s">
        <v>131</v>
      </c>
      <c r="J89" s="48" t="s">
        <v>131</v>
      </c>
      <c r="K89" s="48" t="s">
        <v>131</v>
      </c>
      <c r="L89" s="48" t="s">
        <v>350</v>
      </c>
      <c r="M89" s="47"/>
      <c r="N89" s="48" t="s">
        <v>131</v>
      </c>
      <c r="O89" s="76"/>
      <c r="P89" s="77"/>
      <c r="Q89" s="96" t="s">
        <v>131</v>
      </c>
      <c r="R89" s="97" t="s">
        <v>131</v>
      </c>
      <c r="S89" s="98" t="s">
        <v>131</v>
      </c>
      <c r="T89" s="99" t="s">
        <v>131</v>
      </c>
    </row>
    <row r="90" s="10" customFormat="1" ht="14.4" spans="1:20">
      <c r="A90" s="46" t="str">
        <f t="shared" si="4"/>
        <v>FR003WM2A001E001</v>
      </c>
      <c r="B90" s="47" t="s">
        <v>55</v>
      </c>
      <c r="C90" s="285" t="s">
        <v>351</v>
      </c>
      <c r="D90" s="48" t="s">
        <v>212</v>
      </c>
      <c r="E90" s="48" t="s">
        <v>131</v>
      </c>
      <c r="F90" s="48" t="s">
        <v>131</v>
      </c>
      <c r="G90" s="48" t="s">
        <v>132</v>
      </c>
      <c r="H90" s="49" t="s">
        <v>186</v>
      </c>
      <c r="I90" s="48" t="s">
        <v>131</v>
      </c>
      <c r="J90" s="48" t="s">
        <v>131</v>
      </c>
      <c r="K90" s="48" t="s">
        <v>131</v>
      </c>
      <c r="L90" s="48" t="s">
        <v>131</v>
      </c>
      <c r="M90" s="47"/>
      <c r="N90" s="48" t="s">
        <v>131</v>
      </c>
      <c r="O90" s="76"/>
      <c r="P90" s="77"/>
      <c r="Q90" s="96"/>
      <c r="R90" s="97"/>
      <c r="S90" s="98"/>
      <c r="T90" s="99"/>
    </row>
    <row r="91" s="10" customFormat="1" ht="14.4" spans="1:20">
      <c r="A91" s="46" t="str">
        <f t="shared" si="4"/>
        <v>FR003WM2A001E001</v>
      </c>
      <c r="B91" s="47" t="s">
        <v>55</v>
      </c>
      <c r="C91" s="285" t="s">
        <v>352</v>
      </c>
      <c r="D91" s="48" t="s">
        <v>214</v>
      </c>
      <c r="E91" s="48" t="s">
        <v>131</v>
      </c>
      <c r="F91" s="48" t="s">
        <v>131</v>
      </c>
      <c r="G91" s="48" t="s">
        <v>132</v>
      </c>
      <c r="H91" s="49" t="s">
        <v>215</v>
      </c>
      <c r="I91" s="48" t="s">
        <v>131</v>
      </c>
      <c r="J91" s="48" t="s">
        <v>131</v>
      </c>
      <c r="K91" s="48" t="s">
        <v>131</v>
      </c>
      <c r="L91" s="48" t="s">
        <v>131</v>
      </c>
      <c r="M91" s="47"/>
      <c r="N91" s="48" t="s">
        <v>131</v>
      </c>
      <c r="O91" s="76" t="s">
        <v>216</v>
      </c>
      <c r="P91" s="77">
        <v>120220</v>
      </c>
      <c r="Q91" s="96" t="s">
        <v>131</v>
      </c>
      <c r="R91" s="97" t="s">
        <v>131</v>
      </c>
      <c r="S91" s="98" t="s">
        <v>131</v>
      </c>
      <c r="T91" s="99" t="s">
        <v>131</v>
      </c>
    </row>
    <row r="92" s="13" customFormat="1" ht="14.4" spans="1:20">
      <c r="A92" s="104" t="str">
        <f t="shared" si="4"/>
        <v>FR003WM2A001E001</v>
      </c>
      <c r="B92" s="105" t="s">
        <v>63</v>
      </c>
      <c r="C92" s="292" t="s">
        <v>353</v>
      </c>
      <c r="D92" s="106" t="s">
        <v>218</v>
      </c>
      <c r="E92" s="106"/>
      <c r="F92" s="106"/>
      <c r="G92" s="106" t="s">
        <v>132</v>
      </c>
      <c r="H92" s="107" t="s">
        <v>132</v>
      </c>
      <c r="I92" s="106"/>
      <c r="J92" s="106"/>
      <c r="K92" s="106"/>
      <c r="L92" s="106"/>
      <c r="M92" s="105"/>
      <c r="N92" s="106"/>
      <c r="O92" s="115"/>
      <c r="P92" s="116"/>
      <c r="Q92" s="120"/>
      <c r="R92" s="121"/>
      <c r="S92" s="122"/>
      <c r="T92" s="123"/>
    </row>
    <row r="93" s="13" customFormat="1" ht="14.4" spans="1:20">
      <c r="A93" s="104" t="str">
        <f t="shared" si="4"/>
        <v>FR003WM2A001E001</v>
      </c>
      <c r="B93" s="105" t="s">
        <v>63</v>
      </c>
      <c r="C93" s="292" t="s">
        <v>354</v>
      </c>
      <c r="D93" s="106" t="s">
        <v>170</v>
      </c>
      <c r="E93" s="106"/>
      <c r="F93" s="106"/>
      <c r="G93" s="106" t="s">
        <v>171</v>
      </c>
      <c r="H93" s="107" t="s">
        <v>172</v>
      </c>
      <c r="I93" s="106"/>
      <c r="J93" s="106"/>
      <c r="K93" s="106"/>
      <c r="L93" s="106"/>
      <c r="M93" s="105" t="s">
        <v>146</v>
      </c>
      <c r="N93" s="106" t="str">
        <f>"ETD_F10001_"&amp;'Check list'!E7</f>
        <v>ETD_F10001_FR003WM2A001E001</v>
      </c>
      <c r="O93" s="115"/>
      <c r="P93" s="116"/>
      <c r="Q93" s="120"/>
      <c r="R93" s="121"/>
      <c r="S93" s="122"/>
      <c r="T93" s="123"/>
    </row>
    <row r="94" s="13" customFormat="1" ht="14.4" spans="1:20">
      <c r="A94" s="104" t="str">
        <f t="shared" si="4"/>
        <v>FR003WM2A001E001</v>
      </c>
      <c r="B94" s="105" t="s">
        <v>63</v>
      </c>
      <c r="C94" s="292" t="s">
        <v>355</v>
      </c>
      <c r="D94" s="106" t="s">
        <v>356</v>
      </c>
      <c r="E94" s="106" t="str">
        <f>"PVD Dep F1 Mo "&amp;'Check list'!D21&amp;"nm"</f>
        <v>PVD Dep F1 Mo 070nm</v>
      </c>
      <c r="F94" s="106" t="s">
        <v>131</v>
      </c>
      <c r="G94" s="108" t="str">
        <f>'Check list'!E21</f>
        <v>PVD-F1MO070N</v>
      </c>
      <c r="H94" s="107" t="s">
        <v>222</v>
      </c>
      <c r="I94" s="106"/>
      <c r="J94" s="106"/>
      <c r="K94" s="106"/>
      <c r="L94" s="106"/>
      <c r="M94" s="105"/>
      <c r="N94" s="106"/>
      <c r="O94" s="115" t="s">
        <v>152</v>
      </c>
      <c r="P94" s="116">
        <v>130040</v>
      </c>
      <c r="Q94" s="120"/>
      <c r="R94" s="121"/>
      <c r="S94" s="122"/>
      <c r="T94" s="123"/>
    </row>
    <row r="95" s="13" customFormat="1" ht="14.4" spans="1:20">
      <c r="A95" s="104" t="str">
        <f t="shared" ref="A95:A119" si="5">$E$3</f>
        <v>FR003WM2A001E001</v>
      </c>
      <c r="B95" s="105" t="s">
        <v>63</v>
      </c>
      <c r="C95" s="292" t="s">
        <v>357</v>
      </c>
      <c r="D95" s="106" t="s">
        <v>358</v>
      </c>
      <c r="E95" s="106" t="s">
        <v>131</v>
      </c>
      <c r="F95" s="106" t="s">
        <v>131</v>
      </c>
      <c r="G95" s="106" t="s">
        <v>132</v>
      </c>
      <c r="H95" s="107" t="s">
        <v>140</v>
      </c>
      <c r="I95" s="106"/>
      <c r="J95" s="106"/>
      <c r="K95" s="106"/>
      <c r="L95" s="106" t="s">
        <v>359</v>
      </c>
      <c r="M95" s="105"/>
      <c r="N95" s="106"/>
      <c r="O95" s="115"/>
      <c r="P95" s="116"/>
      <c r="Q95" s="120"/>
      <c r="R95" s="121"/>
      <c r="S95" s="122"/>
      <c r="T95" s="123"/>
    </row>
    <row r="96" s="13" customFormat="1" ht="14.4" spans="1:20">
      <c r="A96" s="104" t="str">
        <f t="shared" si="5"/>
        <v>FR003WM2A001E001</v>
      </c>
      <c r="B96" s="105" t="s">
        <v>63</v>
      </c>
      <c r="C96" s="292" t="s">
        <v>360</v>
      </c>
      <c r="D96" s="106" t="s">
        <v>164</v>
      </c>
      <c r="E96" s="106" t="s">
        <v>131</v>
      </c>
      <c r="F96" s="106" t="s">
        <v>131</v>
      </c>
      <c r="G96" s="106" t="s">
        <v>132</v>
      </c>
      <c r="H96" s="107" t="s">
        <v>165</v>
      </c>
      <c r="I96" s="106"/>
      <c r="J96" s="106"/>
      <c r="K96" s="106"/>
      <c r="L96" s="106" t="s">
        <v>361</v>
      </c>
      <c r="M96" s="105"/>
      <c r="N96" s="106"/>
      <c r="O96" s="115"/>
      <c r="P96" s="116"/>
      <c r="Q96" s="120"/>
      <c r="R96" s="121"/>
      <c r="S96" s="122"/>
      <c r="T96" s="123"/>
    </row>
    <row r="97" s="13" customFormat="1" ht="14.4" spans="1:20">
      <c r="A97" s="104" t="str">
        <f t="shared" si="5"/>
        <v>FR003WM2A001E001</v>
      </c>
      <c r="B97" s="105" t="s">
        <v>63</v>
      </c>
      <c r="C97" s="292" t="s">
        <v>362</v>
      </c>
      <c r="D97" s="106" t="s">
        <v>168</v>
      </c>
      <c r="E97" s="106" t="s">
        <v>131</v>
      </c>
      <c r="F97" s="106" t="s">
        <v>131</v>
      </c>
      <c r="G97" s="106" t="s">
        <v>132</v>
      </c>
      <c r="H97" s="107" t="s">
        <v>132</v>
      </c>
      <c r="I97" s="106"/>
      <c r="J97" s="106"/>
      <c r="K97" s="106"/>
      <c r="L97" s="106"/>
      <c r="M97" s="105"/>
      <c r="N97" s="106"/>
      <c r="O97" s="115"/>
      <c r="P97" s="116"/>
      <c r="Q97" s="120"/>
      <c r="R97" s="121"/>
      <c r="S97" s="122"/>
      <c r="T97" s="123"/>
    </row>
    <row r="98" s="13" customFormat="1" ht="14.4" spans="1:20">
      <c r="A98" s="104" t="str">
        <f t="shared" si="5"/>
        <v>FR003WM2A001E001</v>
      </c>
      <c r="B98" s="105" t="s">
        <v>63</v>
      </c>
      <c r="C98" s="292" t="s">
        <v>363</v>
      </c>
      <c r="D98" s="106" t="s">
        <v>364</v>
      </c>
      <c r="E98" s="106" t="str">
        <f>"THK F1 Mo "&amp;'Check list'!D21&amp;"nm"</f>
        <v>THK F1 Mo 070nm</v>
      </c>
      <c r="F98" s="106"/>
      <c r="G98" s="106" t="str">
        <f>"MTH-"&amp;'Check list'!$D$5&amp;"F1-PVD"</f>
        <v>MTH-EF041AF1-PVD</v>
      </c>
      <c r="H98" s="107" t="s">
        <v>235</v>
      </c>
      <c r="I98" s="106"/>
      <c r="J98" s="106"/>
      <c r="K98" s="106"/>
      <c r="L98" s="106" t="s">
        <v>365</v>
      </c>
      <c r="M98" s="105"/>
      <c r="N98" s="106"/>
      <c r="O98" s="115"/>
      <c r="P98" s="116"/>
      <c r="Q98" s="120"/>
      <c r="R98" s="121"/>
      <c r="S98" s="122"/>
      <c r="T98" s="123"/>
    </row>
    <row r="99" s="13" customFormat="1" ht="14.4" spans="1:20">
      <c r="A99" s="104" t="str">
        <f t="shared" si="5"/>
        <v>FR003WM2A001E001</v>
      </c>
      <c r="B99" s="105" t="s">
        <v>63</v>
      </c>
      <c r="C99" s="292" t="s">
        <v>366</v>
      </c>
      <c r="D99" s="106" t="s">
        <v>170</v>
      </c>
      <c r="E99" s="106"/>
      <c r="F99" s="106"/>
      <c r="G99" s="106" t="s">
        <v>171</v>
      </c>
      <c r="H99" s="107" t="s">
        <v>172</v>
      </c>
      <c r="I99" s="106"/>
      <c r="J99" s="106"/>
      <c r="K99" s="106"/>
      <c r="L99" s="106"/>
      <c r="M99" s="105"/>
      <c r="N99" s="106"/>
      <c r="O99" s="115"/>
      <c r="P99" s="116"/>
      <c r="Q99" s="120"/>
      <c r="R99" s="121"/>
      <c r="S99" s="122"/>
      <c r="T99" s="123"/>
    </row>
    <row r="100" s="13" customFormat="1" ht="14.4" spans="1:20">
      <c r="A100" s="104" t="str">
        <f t="shared" si="5"/>
        <v>FR003WM2A001E001</v>
      </c>
      <c r="B100" s="105" t="s">
        <v>63</v>
      </c>
      <c r="C100" s="292" t="s">
        <v>367</v>
      </c>
      <c r="D100" s="106" t="s">
        <v>368</v>
      </c>
      <c r="E100" s="106"/>
      <c r="F100" s="106"/>
      <c r="G100" s="106" t="str">
        <f>'Check list'!G21</f>
        <v>IP3000@EF041A-45</v>
      </c>
      <c r="H100" s="107" t="s">
        <v>175</v>
      </c>
      <c r="I100" s="106"/>
      <c r="J100" s="106" t="str">
        <f>'Check list'!$D$5&amp;"_45"</f>
        <v>EF041A_45</v>
      </c>
      <c r="K100" s="106"/>
      <c r="L100" s="106"/>
      <c r="M100" s="105" t="s">
        <v>146</v>
      </c>
      <c r="N100" s="106" t="str">
        <f>"ETD_F10002_"&amp;'Check list'!E7</f>
        <v>ETD_F10002_FR003WM2A001E001</v>
      </c>
      <c r="O100" s="115" t="s">
        <v>152</v>
      </c>
      <c r="P100" s="116">
        <v>130180</v>
      </c>
      <c r="Q100" s="120"/>
      <c r="R100" s="121"/>
      <c r="S100" s="122"/>
      <c r="T100" s="123"/>
    </row>
    <row r="101" s="13" customFormat="1" ht="14.4" spans="1:20">
      <c r="A101" s="104" t="str">
        <f t="shared" si="5"/>
        <v>FR003WM2A001E001</v>
      </c>
      <c r="B101" s="105" t="s">
        <v>63</v>
      </c>
      <c r="C101" s="292" t="s">
        <v>369</v>
      </c>
      <c r="D101" s="106" t="s">
        <v>370</v>
      </c>
      <c r="E101" s="106"/>
      <c r="F101" s="106"/>
      <c r="G101" s="106" t="str">
        <f>'Check list'!$D$5&amp;"/"&amp;'Check list'!$D$5&amp;"_F1_PH_B"</f>
        <v>EF041A/EF041A_F1_PH_B</v>
      </c>
      <c r="H101" s="107" t="s">
        <v>178</v>
      </c>
      <c r="I101" s="106"/>
      <c r="J101" s="106"/>
      <c r="K101" s="106"/>
      <c r="L101" s="106" t="s">
        <v>371</v>
      </c>
      <c r="M101" s="105"/>
      <c r="N101" s="106"/>
      <c r="O101" s="115" t="s">
        <v>243</v>
      </c>
      <c r="P101" s="116">
        <v>130180</v>
      </c>
      <c r="Q101" s="120"/>
      <c r="R101" s="121"/>
      <c r="S101" s="122"/>
      <c r="T101" s="123"/>
    </row>
    <row r="102" s="13" customFormat="1" ht="14.4" spans="1:20">
      <c r="A102" s="104" t="str">
        <f t="shared" si="5"/>
        <v>FR003WM2A001E001</v>
      </c>
      <c r="B102" s="105" t="s">
        <v>63</v>
      </c>
      <c r="C102" s="292" t="s">
        <v>372</v>
      </c>
      <c r="D102" s="106" t="s">
        <v>248</v>
      </c>
      <c r="E102" s="106"/>
      <c r="F102" s="106"/>
      <c r="G102" s="106" t="str">
        <f>"OVL"&amp;'Check list'!$D$5&amp;"-45"</f>
        <v>OVLEF041A-45</v>
      </c>
      <c r="H102" s="107" t="s">
        <v>249</v>
      </c>
      <c r="I102" s="106"/>
      <c r="J102" s="106"/>
      <c r="K102" s="106"/>
      <c r="L102" s="106" t="s">
        <v>373</v>
      </c>
      <c r="M102" s="105"/>
      <c r="N102" s="106"/>
      <c r="O102" s="115" t="s">
        <v>243</v>
      </c>
      <c r="P102" s="116">
        <v>130180</v>
      </c>
      <c r="Q102" s="120"/>
      <c r="R102" s="121"/>
      <c r="S102" s="122"/>
      <c r="T102" s="123"/>
    </row>
    <row r="103" s="13" customFormat="1" ht="14.4" spans="1:20">
      <c r="A103" s="104" t="str">
        <f t="shared" si="5"/>
        <v>FR003WM2A001E001</v>
      </c>
      <c r="B103" s="105" t="s">
        <v>63</v>
      </c>
      <c r="C103" s="292" t="s">
        <v>374</v>
      </c>
      <c r="D103" s="106" t="s">
        <v>185</v>
      </c>
      <c r="E103" s="106"/>
      <c r="F103" s="106"/>
      <c r="G103" s="106" t="s">
        <v>132</v>
      </c>
      <c r="H103" s="107" t="s">
        <v>186</v>
      </c>
      <c r="I103" s="106"/>
      <c r="J103" s="106"/>
      <c r="K103" s="106"/>
      <c r="L103" s="106"/>
      <c r="M103" s="105"/>
      <c r="N103" s="106"/>
      <c r="O103" s="115" t="s">
        <v>243</v>
      </c>
      <c r="P103" s="116">
        <v>130180</v>
      </c>
      <c r="Q103" s="120"/>
      <c r="R103" s="121"/>
      <c r="S103" s="122"/>
      <c r="T103" s="123"/>
    </row>
    <row r="104" s="13" customFormat="1" ht="14.4" spans="1:20">
      <c r="A104" s="104" t="str">
        <f t="shared" si="5"/>
        <v>FR003WM2A001E001</v>
      </c>
      <c r="B104" s="105" t="s">
        <v>63</v>
      </c>
      <c r="C104" s="292" t="s">
        <v>375</v>
      </c>
      <c r="D104" s="106" t="s">
        <v>376</v>
      </c>
      <c r="E104" s="106" t="str">
        <f>"F1 Etch Mo "&amp;'Check list'!D21&amp;"nm"</f>
        <v>F1 Etch Mo 070nm</v>
      </c>
      <c r="F104" s="106"/>
      <c r="G104" s="106" t="str">
        <f>'Check list'!I21</f>
        <v>ICP-F1MO70N</v>
      </c>
      <c r="H104" s="107" t="s">
        <v>254</v>
      </c>
      <c r="I104" s="106"/>
      <c r="J104" s="106"/>
      <c r="K104" s="106"/>
      <c r="L104" s="106"/>
      <c r="M104" s="117" t="s">
        <v>189</v>
      </c>
      <c r="N104" s="106" t="str">
        <f>"ETD_F10003_"&amp;'Check list'!E7</f>
        <v>ETD_F10003_FR003WM2A001E001</v>
      </c>
      <c r="O104" s="115"/>
      <c r="P104" s="116"/>
      <c r="Q104" s="120"/>
      <c r="R104" s="121"/>
      <c r="S104" s="122"/>
      <c r="T104" s="123"/>
    </row>
    <row r="105" s="13" customFormat="1" ht="14.4" spans="1:20">
      <c r="A105" s="104" t="str">
        <f t="shared" si="5"/>
        <v>FR003WM2A001E001</v>
      </c>
      <c r="B105" s="105" t="s">
        <v>63</v>
      </c>
      <c r="C105" s="292" t="s">
        <v>377</v>
      </c>
      <c r="D105" s="106" t="s">
        <v>196</v>
      </c>
      <c r="E105" s="106"/>
      <c r="F105" s="106"/>
      <c r="G105" s="106" t="s">
        <v>197</v>
      </c>
      <c r="H105" s="107" t="s">
        <v>198</v>
      </c>
      <c r="I105" s="106"/>
      <c r="J105" s="106"/>
      <c r="K105" s="106"/>
      <c r="L105" s="106"/>
      <c r="M105" s="105" t="s">
        <v>189</v>
      </c>
      <c r="N105" s="106" t="str">
        <f>"ETD_F10004_"&amp;'Check list'!E7</f>
        <v>ETD_F10004_FR003WM2A001E001</v>
      </c>
      <c r="O105" s="115" t="s">
        <v>378</v>
      </c>
      <c r="P105" s="116">
        <v>130300</v>
      </c>
      <c r="Q105" s="120"/>
      <c r="R105" s="121"/>
      <c r="S105" s="122"/>
      <c r="T105" s="123"/>
    </row>
    <row r="106" s="13" customFormat="1" ht="14.4" spans="1:20">
      <c r="A106" s="104" t="str">
        <f t="shared" si="5"/>
        <v>FR003WM2A001E001</v>
      </c>
      <c r="B106" s="105" t="s">
        <v>63</v>
      </c>
      <c r="C106" s="292" t="s">
        <v>379</v>
      </c>
      <c r="D106" s="106" t="s">
        <v>191</v>
      </c>
      <c r="E106" s="106"/>
      <c r="F106" s="106"/>
      <c r="G106" s="106" t="s">
        <v>258</v>
      </c>
      <c r="H106" s="107" t="s">
        <v>193</v>
      </c>
      <c r="I106" s="106"/>
      <c r="J106" s="106"/>
      <c r="K106" s="106"/>
      <c r="L106" s="106"/>
      <c r="M106" s="105" t="s">
        <v>189</v>
      </c>
      <c r="N106" s="106" t="str">
        <f>"ETD_F10005_"&amp;'Check list'!E7</f>
        <v>ETD_F10005_FR003WM2A001E001</v>
      </c>
      <c r="O106" s="115"/>
      <c r="P106" s="116"/>
      <c r="Q106" s="120"/>
      <c r="R106" s="121"/>
      <c r="S106" s="122"/>
      <c r="T106" s="123"/>
    </row>
    <row r="107" s="13" customFormat="1" ht="14.4" spans="1:20">
      <c r="A107" s="104" t="str">
        <f t="shared" si="5"/>
        <v>FR003WM2A001E001</v>
      </c>
      <c r="B107" s="105" t="s">
        <v>63</v>
      </c>
      <c r="C107" s="292" t="s">
        <v>380</v>
      </c>
      <c r="D107" s="106" t="s">
        <v>170</v>
      </c>
      <c r="E107" s="106"/>
      <c r="F107" s="106"/>
      <c r="G107" s="106" t="s">
        <v>171</v>
      </c>
      <c r="H107" s="107" t="s">
        <v>172</v>
      </c>
      <c r="I107" s="106"/>
      <c r="J107" s="106"/>
      <c r="K107" s="106"/>
      <c r="L107" s="106"/>
      <c r="M107" s="105"/>
      <c r="N107" s="106"/>
      <c r="O107" s="115"/>
      <c r="P107" s="116"/>
      <c r="Q107" s="120"/>
      <c r="R107" s="121"/>
      <c r="S107" s="122"/>
      <c r="T107" s="123"/>
    </row>
    <row r="108" s="13" customFormat="1" ht="14.4" spans="1:20">
      <c r="A108" s="104" t="str">
        <f t="shared" si="5"/>
        <v>FR003WM2A001E001</v>
      </c>
      <c r="B108" s="105" t="s">
        <v>63</v>
      </c>
      <c r="C108" s="292" t="s">
        <v>381</v>
      </c>
      <c r="D108" s="106" t="s">
        <v>382</v>
      </c>
      <c r="E108" s="106"/>
      <c r="F108" s="106"/>
      <c r="G108" s="106" t="str">
        <f>"PRF-"&amp;'Check list'!$D$5&amp;"F1"</f>
        <v>PRF-EF041AF1</v>
      </c>
      <c r="H108" s="107" t="s">
        <v>201</v>
      </c>
      <c r="I108" s="106" t="s">
        <v>131</v>
      </c>
      <c r="J108" s="106" t="s">
        <v>131</v>
      </c>
      <c r="K108" s="106" t="s">
        <v>131</v>
      </c>
      <c r="L108" s="106" t="s">
        <v>383</v>
      </c>
      <c r="M108" s="105"/>
      <c r="N108" s="106"/>
      <c r="O108" s="115" t="s">
        <v>384</v>
      </c>
      <c r="P108" s="116">
        <v>130300</v>
      </c>
      <c r="Q108" s="120"/>
      <c r="R108" s="121"/>
      <c r="S108" s="122"/>
      <c r="T108" s="123"/>
    </row>
    <row r="109" s="13" customFormat="1" ht="14.4" spans="1:20">
      <c r="A109" s="104" t="str">
        <f t="shared" si="5"/>
        <v>FR003WM2A001E001</v>
      </c>
      <c r="B109" s="105" t="s">
        <v>63</v>
      </c>
      <c r="C109" s="292" t="s">
        <v>385</v>
      </c>
      <c r="D109" s="105" t="s">
        <v>386</v>
      </c>
      <c r="E109" s="105" t="s">
        <v>131</v>
      </c>
      <c r="F109" s="105" t="s">
        <v>131</v>
      </c>
      <c r="G109" s="106" t="str">
        <f>'Check list'!$D$5&amp;"/"&amp;'Check list'!$D$5&amp;"_F1_ET_B"</f>
        <v>EF041A/EF041A_F1_ET_B</v>
      </c>
      <c r="H109" s="105" t="s">
        <v>178</v>
      </c>
      <c r="I109" s="106"/>
      <c r="J109" s="106"/>
      <c r="K109" s="106"/>
      <c r="L109" s="106" t="s">
        <v>387</v>
      </c>
      <c r="M109" s="105"/>
      <c r="N109" s="106"/>
      <c r="O109" s="115" t="s">
        <v>384</v>
      </c>
      <c r="P109" s="116">
        <v>130300</v>
      </c>
      <c r="Q109" s="120"/>
      <c r="R109" s="121"/>
      <c r="S109" s="122"/>
      <c r="T109" s="123"/>
    </row>
    <row r="110" s="13" customFormat="1" ht="14.4" spans="1:20">
      <c r="A110" s="104" t="str">
        <f t="shared" si="5"/>
        <v>FR003WM2A001E001</v>
      </c>
      <c r="B110" s="105" t="s">
        <v>63</v>
      </c>
      <c r="C110" s="292" t="s">
        <v>388</v>
      </c>
      <c r="D110" s="106" t="s">
        <v>212</v>
      </c>
      <c r="E110" s="106"/>
      <c r="F110" s="106"/>
      <c r="G110" s="106" t="s">
        <v>132</v>
      </c>
      <c r="H110" s="107" t="s">
        <v>186</v>
      </c>
      <c r="I110" s="106"/>
      <c r="J110" s="106"/>
      <c r="K110" s="106"/>
      <c r="L110" s="106"/>
      <c r="M110" s="105"/>
      <c r="N110" s="106"/>
      <c r="O110" s="115" t="s">
        <v>384</v>
      </c>
      <c r="P110" s="116">
        <v>130300</v>
      </c>
      <c r="Q110" s="120"/>
      <c r="R110" s="121"/>
      <c r="S110" s="122"/>
      <c r="T110" s="123"/>
    </row>
    <row r="111" s="13" customFormat="1" ht="14.4" spans="1:20">
      <c r="A111" s="104" t="str">
        <f t="shared" si="5"/>
        <v>FR003WM2A001E001</v>
      </c>
      <c r="B111" s="105" t="s">
        <v>63</v>
      </c>
      <c r="C111" s="292" t="s">
        <v>389</v>
      </c>
      <c r="D111" s="106" t="s">
        <v>214</v>
      </c>
      <c r="E111" s="106"/>
      <c r="F111" s="106"/>
      <c r="G111" s="106" t="s">
        <v>132</v>
      </c>
      <c r="H111" s="107" t="s">
        <v>215</v>
      </c>
      <c r="I111" s="106"/>
      <c r="J111" s="106"/>
      <c r="K111" s="106"/>
      <c r="L111" s="106"/>
      <c r="M111" s="105"/>
      <c r="N111" s="106"/>
      <c r="O111" s="115" t="s">
        <v>216</v>
      </c>
      <c r="P111" s="116">
        <v>130420</v>
      </c>
      <c r="Q111" s="120"/>
      <c r="R111" s="121"/>
      <c r="S111" s="122"/>
      <c r="T111" s="123"/>
    </row>
    <row r="112" s="11" customFormat="1" ht="14.4" spans="1:20">
      <c r="A112" s="50" t="str">
        <f t="shared" si="5"/>
        <v>FR003WM2A001E001</v>
      </c>
      <c r="B112" s="51" t="s">
        <v>58</v>
      </c>
      <c r="C112" s="288" t="s">
        <v>390</v>
      </c>
      <c r="D112" s="52" t="s">
        <v>218</v>
      </c>
      <c r="E112" s="52" t="s">
        <v>131</v>
      </c>
      <c r="F112" s="52" t="s">
        <v>131</v>
      </c>
      <c r="G112" s="52" t="s">
        <v>132</v>
      </c>
      <c r="H112" s="53" t="s">
        <v>132</v>
      </c>
      <c r="I112" s="52" t="s">
        <v>131</v>
      </c>
      <c r="J112" s="52" t="s">
        <v>131</v>
      </c>
      <c r="K112" s="52" t="s">
        <v>131</v>
      </c>
      <c r="L112" s="52" t="s">
        <v>131</v>
      </c>
      <c r="M112" s="51"/>
      <c r="N112" s="52" t="s">
        <v>131</v>
      </c>
      <c r="O112" s="79" t="s">
        <v>131</v>
      </c>
      <c r="P112" s="80"/>
      <c r="Q112" s="100" t="s">
        <v>131</v>
      </c>
      <c r="R112" s="101" t="s">
        <v>131</v>
      </c>
      <c r="S112" s="102" t="s">
        <v>131</v>
      </c>
      <c r="T112" s="103" t="s">
        <v>131</v>
      </c>
    </row>
    <row r="113" s="11" customFormat="1" ht="14.4" spans="1:20">
      <c r="A113" s="50" t="str">
        <f t="shared" si="5"/>
        <v>FR003WM2A001E001</v>
      </c>
      <c r="B113" s="51" t="s">
        <v>58</v>
      </c>
      <c r="C113" s="288" t="s">
        <v>391</v>
      </c>
      <c r="D113" s="52" t="s">
        <v>170</v>
      </c>
      <c r="E113" s="52" t="s">
        <v>131</v>
      </c>
      <c r="F113" s="52" t="s">
        <v>131</v>
      </c>
      <c r="G113" s="52" t="s">
        <v>171</v>
      </c>
      <c r="H113" s="53" t="s">
        <v>172</v>
      </c>
      <c r="I113" s="52" t="s">
        <v>131</v>
      </c>
      <c r="J113" s="52" t="s">
        <v>131</v>
      </c>
      <c r="K113" s="52" t="s">
        <v>131</v>
      </c>
      <c r="L113" s="52" t="s">
        <v>131</v>
      </c>
      <c r="M113" s="51" t="s">
        <v>146</v>
      </c>
      <c r="N113" s="52" t="str">
        <f>"ETD_M10001_"&amp;'Check list'!E7</f>
        <v>ETD_M10001_FR003WM2A001E001</v>
      </c>
      <c r="O113" s="79"/>
      <c r="P113" s="80"/>
      <c r="Q113" s="100" t="s">
        <v>131</v>
      </c>
      <c r="R113" s="101" t="s">
        <v>131</v>
      </c>
      <c r="S113" s="102" t="s">
        <v>131</v>
      </c>
      <c r="T113" s="103" t="s">
        <v>131</v>
      </c>
    </row>
    <row r="114" s="11" customFormat="1" ht="14.4" spans="1:20">
      <c r="A114" s="50" t="str">
        <f t="shared" si="5"/>
        <v>FR003WM2A001E001</v>
      </c>
      <c r="B114" s="51" t="s">
        <v>58</v>
      </c>
      <c r="C114" s="288" t="s">
        <v>392</v>
      </c>
      <c r="D114" s="52" t="s">
        <v>393</v>
      </c>
      <c r="E114" s="52" t="str">
        <f>"PVD M2 "&amp;'Check list'!D19&amp;"nm"</f>
        <v>PVD M2 368nm</v>
      </c>
      <c r="F114" s="52" t="s">
        <v>131</v>
      </c>
      <c r="G114" s="52" t="str">
        <f>'Check list'!E19</f>
        <v>PVD-M2MO368N</v>
      </c>
      <c r="H114" s="53" t="s">
        <v>222</v>
      </c>
      <c r="I114" s="52" t="s">
        <v>131</v>
      </c>
      <c r="J114" s="52" t="s">
        <v>131</v>
      </c>
      <c r="K114" s="52" t="s">
        <v>131</v>
      </c>
      <c r="L114" s="52" t="s">
        <v>131</v>
      </c>
      <c r="M114" s="51" t="s">
        <v>203</v>
      </c>
      <c r="N114" s="75" t="str">
        <f>"ETD_M10007_"&amp;'Check list'!E7</f>
        <v>ETD_M10007_FR003WM2A001E001</v>
      </c>
      <c r="O114" s="79" t="s">
        <v>152</v>
      </c>
      <c r="P114" s="80">
        <v>140040</v>
      </c>
      <c r="Q114" s="100" t="s">
        <v>131</v>
      </c>
      <c r="R114" s="101" t="s">
        <v>131</v>
      </c>
      <c r="S114" s="102" t="s">
        <v>131</v>
      </c>
      <c r="T114" s="103" t="s">
        <v>131</v>
      </c>
    </row>
    <row r="115" s="11" customFormat="1" ht="14.4" spans="1:20">
      <c r="A115" s="50" t="str">
        <f t="shared" si="5"/>
        <v>FR003WM2A001E001</v>
      </c>
      <c r="B115" s="51" t="s">
        <v>58</v>
      </c>
      <c r="C115" s="288" t="s">
        <v>394</v>
      </c>
      <c r="D115" s="52" t="s">
        <v>395</v>
      </c>
      <c r="E115" s="52" t="s">
        <v>131</v>
      </c>
      <c r="F115" s="52" t="s">
        <v>131</v>
      </c>
      <c r="G115" s="52" t="s">
        <v>132</v>
      </c>
      <c r="H115" s="53" t="s">
        <v>140</v>
      </c>
      <c r="I115" s="52" t="s">
        <v>131</v>
      </c>
      <c r="J115" s="52" t="s">
        <v>131</v>
      </c>
      <c r="K115" s="52" t="s">
        <v>131</v>
      </c>
      <c r="L115" s="52" t="s">
        <v>396</v>
      </c>
      <c r="M115" s="51"/>
      <c r="N115" s="52" t="s">
        <v>131</v>
      </c>
      <c r="O115" s="79" t="s">
        <v>131</v>
      </c>
      <c r="P115" s="80"/>
      <c r="Q115" s="100" t="s">
        <v>131</v>
      </c>
      <c r="R115" s="101" t="s">
        <v>131</v>
      </c>
      <c r="S115" s="102" t="s">
        <v>131</v>
      </c>
      <c r="T115" s="103" t="s">
        <v>131</v>
      </c>
    </row>
    <row r="116" s="11" customFormat="1" ht="14.4" spans="1:20">
      <c r="A116" s="50" t="str">
        <f t="shared" si="5"/>
        <v>FR003WM2A001E001</v>
      </c>
      <c r="B116" s="51" t="s">
        <v>58</v>
      </c>
      <c r="C116" s="288" t="s">
        <v>397</v>
      </c>
      <c r="D116" s="52" t="s">
        <v>168</v>
      </c>
      <c r="E116" s="52" t="s">
        <v>131</v>
      </c>
      <c r="F116" s="52" t="s">
        <v>131</v>
      </c>
      <c r="G116" s="52" t="s">
        <v>132</v>
      </c>
      <c r="H116" s="53" t="s">
        <v>132</v>
      </c>
      <c r="I116" s="52" t="s">
        <v>131</v>
      </c>
      <c r="J116" s="52" t="s">
        <v>131</v>
      </c>
      <c r="K116" s="52" t="s">
        <v>131</v>
      </c>
      <c r="L116" s="52" t="s">
        <v>131</v>
      </c>
      <c r="M116" s="51"/>
      <c r="N116" s="52" t="s">
        <v>131</v>
      </c>
      <c r="O116" s="79" t="s">
        <v>131</v>
      </c>
      <c r="P116" s="80"/>
      <c r="Q116" s="100" t="s">
        <v>131</v>
      </c>
      <c r="R116" s="101" t="s">
        <v>131</v>
      </c>
      <c r="S116" s="102" t="s">
        <v>131</v>
      </c>
      <c r="T116" s="103" t="s">
        <v>131</v>
      </c>
    </row>
    <row r="117" s="11" customFormat="1" ht="14.4" spans="1:20">
      <c r="A117" s="50" t="str">
        <f t="shared" si="5"/>
        <v>FR003WM2A001E001</v>
      </c>
      <c r="B117" s="51" t="s">
        <v>58</v>
      </c>
      <c r="C117" s="288" t="s">
        <v>398</v>
      </c>
      <c r="D117" s="52" t="s">
        <v>399</v>
      </c>
      <c r="E117" s="52"/>
      <c r="F117" s="52"/>
      <c r="G117" s="52" t="str">
        <f>"MTH-"&amp;'Check list'!$D$5&amp;"M2"</f>
        <v>MTH-EF041AM2</v>
      </c>
      <c r="H117" s="53" t="s">
        <v>235</v>
      </c>
      <c r="I117" s="52"/>
      <c r="J117" s="52"/>
      <c r="K117" s="52"/>
      <c r="L117" s="52" t="s">
        <v>400</v>
      </c>
      <c r="M117" s="51"/>
      <c r="N117" s="52"/>
      <c r="O117" s="79"/>
      <c r="P117" s="80"/>
      <c r="Q117" s="100"/>
      <c r="R117" s="101"/>
      <c r="S117" s="102"/>
      <c r="T117" s="103"/>
    </row>
    <row r="118" s="14" customFormat="1" ht="14.4" spans="1:20">
      <c r="A118" s="109" t="str">
        <f t="shared" si="5"/>
        <v>FR003WM2A001E001</v>
      </c>
      <c r="B118" s="110" t="s">
        <v>60</v>
      </c>
      <c r="C118" s="110" t="s">
        <v>401</v>
      </c>
      <c r="D118" s="111" t="s">
        <v>170</v>
      </c>
      <c r="E118" s="111" t="s">
        <v>131</v>
      </c>
      <c r="F118" s="111" t="s">
        <v>131</v>
      </c>
      <c r="G118" s="111" t="s">
        <v>171</v>
      </c>
      <c r="H118" s="112" t="s">
        <v>172</v>
      </c>
      <c r="I118" s="111" t="s">
        <v>131</v>
      </c>
      <c r="J118" s="111" t="s">
        <v>131</v>
      </c>
      <c r="K118" s="111" t="s">
        <v>131</v>
      </c>
      <c r="L118" s="111" t="s">
        <v>131</v>
      </c>
      <c r="M118" s="110" t="s">
        <v>146</v>
      </c>
      <c r="N118" s="111" t="str">
        <f>"ETD_PM20001_"&amp;'Check list'!E7</f>
        <v>ETD_PM20001_FR003WM2A001E001</v>
      </c>
      <c r="O118" s="118" t="s">
        <v>131</v>
      </c>
      <c r="P118" s="119"/>
      <c r="Q118" s="124"/>
      <c r="R118" s="125"/>
      <c r="S118" s="126"/>
      <c r="T118" s="127"/>
    </row>
    <row r="119" s="14" customFormat="1" ht="14.4" spans="1:20">
      <c r="A119" s="109" t="str">
        <f t="shared" ref="A119:A129" si="6">$E$3</f>
        <v>FR003WM2A001E001</v>
      </c>
      <c r="B119" s="110" t="s">
        <v>60</v>
      </c>
      <c r="C119" s="110" t="s">
        <v>402</v>
      </c>
      <c r="D119" s="111" t="s">
        <v>403</v>
      </c>
      <c r="E119" s="111" t="s">
        <v>131</v>
      </c>
      <c r="F119" s="111" t="s">
        <v>131</v>
      </c>
      <c r="G119" s="111" t="str">
        <f>'Check list'!G20</f>
        <v>IP3000@EF041A-140</v>
      </c>
      <c r="H119" s="112" t="s">
        <v>175</v>
      </c>
      <c r="I119" s="111" t="s">
        <v>131</v>
      </c>
      <c r="J119" s="111" t="str">
        <f>'Check list'!$D$5&amp;"_140"</f>
        <v>EF041A_140</v>
      </c>
      <c r="K119" s="111" t="s">
        <v>131</v>
      </c>
      <c r="L119" s="111" t="s">
        <v>131</v>
      </c>
      <c r="M119" s="110" t="s">
        <v>146</v>
      </c>
      <c r="N119" s="111" t="str">
        <f>"ETD_PM20002_"&amp;'Check list'!E7</f>
        <v>ETD_PM20002_FR003WM2A001E001</v>
      </c>
      <c r="O119" s="118" t="s">
        <v>131</v>
      </c>
      <c r="P119" s="119"/>
      <c r="Q119" s="124"/>
      <c r="R119" s="125"/>
      <c r="S119" s="126"/>
      <c r="T119" s="127"/>
    </row>
    <row r="120" s="14" customFormat="1" ht="14.4" spans="1:20">
      <c r="A120" s="109" t="str">
        <f t="shared" si="6"/>
        <v>FR003WM2A001E001</v>
      </c>
      <c r="B120" s="110" t="s">
        <v>60</v>
      </c>
      <c r="C120" s="110" t="s">
        <v>404</v>
      </c>
      <c r="D120" s="111" t="s">
        <v>405</v>
      </c>
      <c r="E120" s="111" t="s">
        <v>131</v>
      </c>
      <c r="F120" s="111" t="s">
        <v>131</v>
      </c>
      <c r="G120" s="111" t="str">
        <f>'Check list'!$D$5&amp;"/"&amp;'Check list'!$D$5&amp;"_UM_PH_B"</f>
        <v>EF041A/EF041A_UM_PH_B</v>
      </c>
      <c r="H120" s="112" t="s">
        <v>178</v>
      </c>
      <c r="I120" s="111" t="s">
        <v>131</v>
      </c>
      <c r="J120" s="111" t="s">
        <v>131</v>
      </c>
      <c r="K120" s="111" t="s">
        <v>131</v>
      </c>
      <c r="L120" s="111" t="s">
        <v>406</v>
      </c>
      <c r="M120" s="110"/>
      <c r="N120" s="111" t="s">
        <v>131</v>
      </c>
      <c r="O120" s="118" t="s">
        <v>131</v>
      </c>
      <c r="P120" s="119"/>
      <c r="Q120" s="124"/>
      <c r="R120" s="125"/>
      <c r="S120" s="126"/>
      <c r="T120" s="127"/>
    </row>
    <row r="121" s="14" customFormat="1" ht="14.4" spans="1:20">
      <c r="A121" s="109" t="str">
        <f t="shared" si="6"/>
        <v>FR003WM2A001E001</v>
      </c>
      <c r="B121" s="110" t="s">
        <v>60</v>
      </c>
      <c r="C121" s="110" t="s">
        <v>407</v>
      </c>
      <c r="D121" s="111" t="s">
        <v>408</v>
      </c>
      <c r="E121" s="111" t="s">
        <v>131</v>
      </c>
      <c r="F121" s="111" t="s">
        <v>131</v>
      </c>
      <c r="G121" s="111" t="str">
        <f>"OVL"&amp;'Check list'!$D$5&amp;"-140"</f>
        <v>OVLEF041A-140</v>
      </c>
      <c r="H121" s="112" t="s">
        <v>249</v>
      </c>
      <c r="I121" s="111" t="s">
        <v>131</v>
      </c>
      <c r="J121" s="111" t="s">
        <v>131</v>
      </c>
      <c r="K121" s="111" t="s">
        <v>131</v>
      </c>
      <c r="L121" s="111" t="s">
        <v>409</v>
      </c>
      <c r="M121" s="110"/>
      <c r="N121" s="111" t="s">
        <v>131</v>
      </c>
      <c r="O121" s="118" t="s">
        <v>131</v>
      </c>
      <c r="P121" s="119"/>
      <c r="Q121" s="124"/>
      <c r="R121" s="125"/>
      <c r="S121" s="126"/>
      <c r="T121" s="127"/>
    </row>
    <row r="122" s="14" customFormat="1" ht="14.4" spans="1:20">
      <c r="A122" s="109" t="str">
        <f t="shared" si="6"/>
        <v>FR003WM2A001E001</v>
      </c>
      <c r="B122" s="110" t="s">
        <v>60</v>
      </c>
      <c r="C122" s="110" t="s">
        <v>410</v>
      </c>
      <c r="D122" s="111" t="s">
        <v>185</v>
      </c>
      <c r="E122" s="111"/>
      <c r="F122" s="111" t="s">
        <v>131</v>
      </c>
      <c r="G122" s="111" t="s">
        <v>132</v>
      </c>
      <c r="H122" s="112" t="s">
        <v>186</v>
      </c>
      <c r="I122" s="111" t="s">
        <v>131</v>
      </c>
      <c r="J122" s="111" t="s">
        <v>131</v>
      </c>
      <c r="K122" s="111" t="s">
        <v>131</v>
      </c>
      <c r="L122" s="111" t="s">
        <v>131</v>
      </c>
      <c r="M122" s="110"/>
      <c r="N122" s="111" t="s">
        <v>131</v>
      </c>
      <c r="O122" s="118" t="s">
        <v>411</v>
      </c>
      <c r="P122" s="119"/>
      <c r="Q122" s="124"/>
      <c r="R122" s="125"/>
      <c r="S122" s="126"/>
      <c r="T122" s="127"/>
    </row>
    <row r="123" s="14" customFormat="1" ht="14.4" spans="1:20">
      <c r="A123" s="109" t="str">
        <f t="shared" si="6"/>
        <v>FR003WM2A001E001</v>
      </c>
      <c r="B123" s="110" t="s">
        <v>60</v>
      </c>
      <c r="C123" s="110" t="s">
        <v>412</v>
      </c>
      <c r="D123" s="111" t="s">
        <v>413</v>
      </c>
      <c r="E123" s="111" t="str">
        <f>"UVM1 Trim removal Mo "&amp;'Check list'!D20&amp;"nm"</f>
        <v>UVM1 Trim removal Mo 060nm</v>
      </c>
      <c r="F123" s="111" t="s">
        <v>131</v>
      </c>
      <c r="G123" s="111" t="str">
        <f>'Check list'!I20</f>
        <v>TRM-MO280N-A</v>
      </c>
      <c r="H123" s="112" t="s">
        <v>414</v>
      </c>
      <c r="I123" s="111" t="s">
        <v>131</v>
      </c>
      <c r="J123" s="111" t="s">
        <v>131</v>
      </c>
      <c r="K123" s="111" t="s">
        <v>131</v>
      </c>
      <c r="L123" s="111" t="s">
        <v>131</v>
      </c>
      <c r="M123" s="110" t="s">
        <v>189</v>
      </c>
      <c r="N123" s="111" t="str">
        <f>"ETD_PM20003_"&amp;'Check list'!E7</f>
        <v>ETD_PM20003_FR003WM2A001E001</v>
      </c>
      <c r="O123" s="118" t="s">
        <v>131</v>
      </c>
      <c r="P123" s="119"/>
      <c r="Q123" s="124"/>
      <c r="R123" s="125"/>
      <c r="S123" s="126"/>
      <c r="T123" s="127"/>
    </row>
    <row r="124" s="14" customFormat="1" ht="14.4" spans="1:20">
      <c r="A124" s="109" t="str">
        <f t="shared" si="6"/>
        <v>FR003WM2A001E001</v>
      </c>
      <c r="B124" s="110" t="s">
        <v>60</v>
      </c>
      <c r="C124" s="110" t="s">
        <v>415</v>
      </c>
      <c r="D124" s="111" t="s">
        <v>196</v>
      </c>
      <c r="E124" s="111" t="s">
        <v>131</v>
      </c>
      <c r="F124" s="111" t="s">
        <v>131</v>
      </c>
      <c r="G124" s="111" t="s">
        <v>197</v>
      </c>
      <c r="H124" s="112" t="s">
        <v>198</v>
      </c>
      <c r="I124" s="111" t="s">
        <v>131</v>
      </c>
      <c r="J124" s="111" t="s">
        <v>131</v>
      </c>
      <c r="K124" s="111" t="s">
        <v>131</v>
      </c>
      <c r="L124" s="111" t="s">
        <v>131</v>
      </c>
      <c r="M124" s="110" t="s">
        <v>189</v>
      </c>
      <c r="N124" s="111" t="str">
        <f>"ETD_PM20004_"&amp;'Check list'!E7</f>
        <v>ETD_PM20004_FR003WM2A001E001</v>
      </c>
      <c r="O124" s="118" t="s">
        <v>131</v>
      </c>
      <c r="P124" s="119"/>
      <c r="Q124" s="124"/>
      <c r="R124" s="125"/>
      <c r="S124" s="126"/>
      <c r="T124" s="127"/>
    </row>
    <row r="125" s="14" customFormat="1" ht="14.4" spans="1:20">
      <c r="A125" s="109" t="str">
        <f t="shared" si="6"/>
        <v>FR003WM2A001E001</v>
      </c>
      <c r="B125" s="110" t="s">
        <v>60</v>
      </c>
      <c r="C125" s="110" t="s">
        <v>416</v>
      </c>
      <c r="D125" s="111" t="s">
        <v>191</v>
      </c>
      <c r="E125" s="111" t="s">
        <v>131</v>
      </c>
      <c r="F125" s="111" t="s">
        <v>131</v>
      </c>
      <c r="G125" s="111" t="s">
        <v>258</v>
      </c>
      <c r="H125" s="112" t="s">
        <v>193</v>
      </c>
      <c r="I125" s="111" t="s">
        <v>131</v>
      </c>
      <c r="J125" s="111" t="s">
        <v>131</v>
      </c>
      <c r="K125" s="111" t="s">
        <v>131</v>
      </c>
      <c r="L125" s="111" t="s">
        <v>131</v>
      </c>
      <c r="M125" s="110" t="s">
        <v>189</v>
      </c>
      <c r="N125" s="111" t="str">
        <f>"ETD_PM20005_"&amp;'Check list'!E7</f>
        <v>ETD_PM20005_FR003WM2A001E001</v>
      </c>
      <c r="O125" s="118" t="s">
        <v>131</v>
      </c>
      <c r="P125" s="119"/>
      <c r="Q125" s="124"/>
      <c r="R125" s="125"/>
      <c r="S125" s="126"/>
      <c r="T125" s="127"/>
    </row>
    <row r="126" s="14" customFormat="1" ht="14.4" spans="1:20">
      <c r="A126" s="109" t="str">
        <f t="shared" si="6"/>
        <v>FR003WM2A001E001</v>
      </c>
      <c r="B126" s="110" t="s">
        <v>60</v>
      </c>
      <c r="C126" s="110" t="s">
        <v>417</v>
      </c>
      <c r="D126" s="111" t="s">
        <v>170</v>
      </c>
      <c r="E126" s="111" t="s">
        <v>131</v>
      </c>
      <c r="F126" s="111" t="s">
        <v>131</v>
      </c>
      <c r="G126" s="111" t="s">
        <v>171</v>
      </c>
      <c r="H126" s="112" t="s">
        <v>172</v>
      </c>
      <c r="I126" s="111" t="s">
        <v>131</v>
      </c>
      <c r="J126" s="111" t="s">
        <v>131</v>
      </c>
      <c r="K126" s="111" t="s">
        <v>131</v>
      </c>
      <c r="L126" s="111" t="s">
        <v>131</v>
      </c>
      <c r="M126" s="110"/>
      <c r="N126" s="111" t="s">
        <v>131</v>
      </c>
      <c r="O126" s="118" t="s">
        <v>131</v>
      </c>
      <c r="P126" s="119"/>
      <c r="Q126" s="124"/>
      <c r="R126" s="125"/>
      <c r="S126" s="126"/>
      <c r="T126" s="127"/>
    </row>
    <row r="127" s="14" customFormat="1" ht="14.4" spans="1:20">
      <c r="A127" s="109" t="str">
        <f t="shared" si="6"/>
        <v>FR003WM2A001E001</v>
      </c>
      <c r="B127" s="110" t="s">
        <v>60</v>
      </c>
      <c r="C127" s="110" t="s">
        <v>418</v>
      </c>
      <c r="D127" s="111" t="s">
        <v>419</v>
      </c>
      <c r="E127" s="111" t="s">
        <v>131</v>
      </c>
      <c r="F127" s="111" t="s">
        <v>131</v>
      </c>
      <c r="G127" s="111" t="str">
        <f>"MTH-"&amp;'Check list'!$D$5&amp;"UM"</f>
        <v>MTH-EF041AUM</v>
      </c>
      <c r="H127" s="112" t="s">
        <v>235</v>
      </c>
      <c r="I127" s="111" t="s">
        <v>131</v>
      </c>
      <c r="J127" s="111" t="s">
        <v>131</v>
      </c>
      <c r="K127" s="111" t="s">
        <v>131</v>
      </c>
      <c r="L127" s="111" t="s">
        <v>420</v>
      </c>
      <c r="M127" s="110"/>
      <c r="N127" s="111" t="s">
        <v>131</v>
      </c>
      <c r="O127" s="118" t="s">
        <v>131</v>
      </c>
      <c r="P127" s="119"/>
      <c r="Q127" s="124"/>
      <c r="R127" s="125"/>
      <c r="S127" s="126"/>
      <c r="T127" s="127"/>
    </row>
    <row r="128" s="14" customFormat="1" ht="14.4" spans="1:20">
      <c r="A128" s="109" t="str">
        <f t="shared" si="6"/>
        <v>FR003WM2A001E001</v>
      </c>
      <c r="B128" s="110" t="s">
        <v>60</v>
      </c>
      <c r="C128" s="110" t="s">
        <v>421</v>
      </c>
      <c r="D128" s="111" t="s">
        <v>212</v>
      </c>
      <c r="E128" s="111"/>
      <c r="F128" s="111" t="s">
        <v>131</v>
      </c>
      <c r="G128" s="111" t="s">
        <v>132</v>
      </c>
      <c r="H128" s="112" t="s">
        <v>186</v>
      </c>
      <c r="I128" s="111" t="s">
        <v>131</v>
      </c>
      <c r="J128" s="111" t="s">
        <v>131</v>
      </c>
      <c r="K128" s="111" t="s">
        <v>131</v>
      </c>
      <c r="L128" s="111" t="s">
        <v>131</v>
      </c>
      <c r="M128" s="110"/>
      <c r="N128" s="111" t="s">
        <v>131</v>
      </c>
      <c r="O128" s="118" t="s">
        <v>194</v>
      </c>
      <c r="P128" s="119"/>
      <c r="Q128" s="124"/>
      <c r="R128" s="125"/>
      <c r="S128" s="126"/>
      <c r="T128" s="127"/>
    </row>
    <row r="129" s="14" customFormat="1" ht="14.4" spans="1:20">
      <c r="A129" s="109" t="s">
        <v>422</v>
      </c>
      <c r="B129" s="110" t="s">
        <v>60</v>
      </c>
      <c r="C129" s="293" t="s">
        <v>423</v>
      </c>
      <c r="D129" s="111" t="s">
        <v>214</v>
      </c>
      <c r="E129" s="111"/>
      <c r="F129" s="111"/>
      <c r="G129" s="111" t="s">
        <v>132</v>
      </c>
      <c r="H129" s="112" t="s">
        <v>215</v>
      </c>
      <c r="I129" s="111"/>
      <c r="J129" s="111"/>
      <c r="K129" s="111"/>
      <c r="L129" s="111"/>
      <c r="M129" s="110"/>
      <c r="N129" s="111"/>
      <c r="O129" s="118"/>
      <c r="P129" s="119"/>
      <c r="Q129" s="124"/>
      <c r="R129" s="125"/>
      <c r="S129" s="126"/>
      <c r="T129" s="127"/>
    </row>
    <row r="130" s="12" customFormat="1" ht="14.4" spans="1:20">
      <c r="A130" s="128" t="str">
        <f>$E$3</f>
        <v>FR003WM2A001E001</v>
      </c>
      <c r="B130" s="129" t="s">
        <v>63</v>
      </c>
      <c r="C130" s="294" t="s">
        <v>424</v>
      </c>
      <c r="D130" s="130" t="s">
        <v>170</v>
      </c>
      <c r="E130" s="130"/>
      <c r="F130" s="130"/>
      <c r="G130" s="130" t="s">
        <v>171</v>
      </c>
      <c r="H130" s="131" t="s">
        <v>172</v>
      </c>
      <c r="I130" s="130"/>
      <c r="J130" s="130"/>
      <c r="K130" s="130"/>
      <c r="L130" s="130"/>
      <c r="M130" s="129" t="s">
        <v>146</v>
      </c>
      <c r="N130" s="130" t="str">
        <f>"ETD_F10001_"&amp;'Check list'!E7</f>
        <v>ETD_F10001_FR003WM2A001E001</v>
      </c>
      <c r="O130" s="132"/>
      <c r="P130" s="133"/>
      <c r="Q130" s="134"/>
      <c r="R130" s="135"/>
      <c r="S130" s="136"/>
      <c r="T130" s="137"/>
    </row>
    <row r="131" s="12" customFormat="1" ht="14.4" spans="1:20">
      <c r="A131" s="128" t="str">
        <f>$E$3</f>
        <v>FR003WM2A001E001</v>
      </c>
      <c r="B131" s="129" t="s">
        <v>63</v>
      </c>
      <c r="C131" s="294" t="s">
        <v>425</v>
      </c>
      <c r="D131" s="130" t="s">
        <v>368</v>
      </c>
      <c r="E131" s="130"/>
      <c r="F131" s="130"/>
      <c r="G131" s="130" t="str">
        <f>'Check list'!G21</f>
        <v>IP3000@EF041A-45</v>
      </c>
      <c r="H131" s="131" t="s">
        <v>175</v>
      </c>
      <c r="I131" s="130"/>
      <c r="J131" s="130" t="str">
        <f>'Check list'!$D$5&amp;"_45"</f>
        <v>EF041A_45</v>
      </c>
      <c r="K131" s="130"/>
      <c r="L131" s="130"/>
      <c r="M131" s="129" t="s">
        <v>146</v>
      </c>
      <c r="N131" s="130" t="str">
        <f>"ETD_F10002_"&amp;'Check list'!E7</f>
        <v>ETD_F10002_FR003WM2A001E001</v>
      </c>
      <c r="O131" s="132" t="s">
        <v>152</v>
      </c>
      <c r="P131" s="133">
        <v>160020</v>
      </c>
      <c r="Q131" s="134"/>
      <c r="R131" s="135"/>
      <c r="S131" s="136"/>
      <c r="T131" s="137"/>
    </row>
    <row r="132" s="12" customFormat="1" ht="14.4" spans="1:20">
      <c r="A132" s="128" t="str">
        <f t="shared" ref="A132:A142" si="7">$E$3</f>
        <v>FR003WM2A001E001</v>
      </c>
      <c r="B132" s="129" t="s">
        <v>63</v>
      </c>
      <c r="C132" s="294" t="s">
        <v>426</v>
      </c>
      <c r="D132" s="130" t="s">
        <v>370</v>
      </c>
      <c r="E132" s="130"/>
      <c r="F132" s="130"/>
      <c r="G132" s="130" t="str">
        <f>'Check list'!$D$5&amp;"/"&amp;'Check list'!$D$5&amp;"_F1_PH_B"</f>
        <v>EF041A/EF041A_F1_PH_B</v>
      </c>
      <c r="H132" s="131" t="s">
        <v>178</v>
      </c>
      <c r="I132" s="130"/>
      <c r="J132" s="130"/>
      <c r="K132" s="130"/>
      <c r="L132" s="130" t="s">
        <v>427</v>
      </c>
      <c r="M132" s="129"/>
      <c r="N132" s="130"/>
      <c r="O132" s="132" t="s">
        <v>243</v>
      </c>
      <c r="P132" s="133">
        <v>160020</v>
      </c>
      <c r="Q132" s="134"/>
      <c r="R132" s="135"/>
      <c r="S132" s="136"/>
      <c r="T132" s="137"/>
    </row>
    <row r="133" s="12" customFormat="1" ht="14.4" spans="1:20">
      <c r="A133" s="128" t="str">
        <f t="shared" si="7"/>
        <v>FR003WM2A001E001</v>
      </c>
      <c r="B133" s="129" t="s">
        <v>63</v>
      </c>
      <c r="C133" s="294" t="s">
        <v>428</v>
      </c>
      <c r="D133" s="130" t="s">
        <v>248</v>
      </c>
      <c r="E133" s="130"/>
      <c r="F133" s="130"/>
      <c r="G133" s="130" t="str">
        <f>"OVL"&amp;'Check list'!$D$5&amp;"-45"</f>
        <v>OVLEF041A-45</v>
      </c>
      <c r="H133" s="131" t="s">
        <v>249</v>
      </c>
      <c r="I133" s="130"/>
      <c r="J133" s="130"/>
      <c r="K133" s="130"/>
      <c r="L133" s="130" t="s">
        <v>373</v>
      </c>
      <c r="M133" s="129"/>
      <c r="N133" s="130"/>
      <c r="O133" s="132" t="s">
        <v>243</v>
      </c>
      <c r="P133" s="133">
        <v>160020</v>
      </c>
      <c r="Q133" s="134"/>
      <c r="R133" s="135"/>
      <c r="S133" s="136"/>
      <c r="T133" s="137"/>
    </row>
    <row r="134" s="12" customFormat="1" ht="14.4" spans="1:20">
      <c r="A134" s="128" t="str">
        <f t="shared" si="7"/>
        <v>FR003WM2A001E001</v>
      </c>
      <c r="B134" s="129" t="s">
        <v>63</v>
      </c>
      <c r="C134" s="294" t="s">
        <v>429</v>
      </c>
      <c r="D134" s="130" t="s">
        <v>185</v>
      </c>
      <c r="E134" s="130"/>
      <c r="F134" s="130"/>
      <c r="G134" s="130" t="s">
        <v>132</v>
      </c>
      <c r="H134" s="131" t="s">
        <v>186</v>
      </c>
      <c r="I134" s="130"/>
      <c r="J134" s="130"/>
      <c r="K134" s="130"/>
      <c r="L134" s="130"/>
      <c r="M134" s="129"/>
      <c r="N134" s="130"/>
      <c r="O134" s="132" t="s">
        <v>243</v>
      </c>
      <c r="P134" s="133">
        <v>160020</v>
      </c>
      <c r="Q134" s="134"/>
      <c r="R134" s="135"/>
      <c r="S134" s="136"/>
      <c r="T134" s="137"/>
    </row>
    <row r="135" s="12" customFormat="1" ht="14.4" spans="1:20">
      <c r="A135" s="128" t="str">
        <f t="shared" si="7"/>
        <v>FR003WM2A001E001</v>
      </c>
      <c r="B135" s="129" t="s">
        <v>63</v>
      </c>
      <c r="C135" s="294" t="s">
        <v>430</v>
      </c>
      <c r="D135" s="130" t="s">
        <v>431</v>
      </c>
      <c r="E135" s="130" t="str">
        <f>"F1 Trim removal Mo "&amp;'Check list'!D21&amp;"nm"</f>
        <v>F1 Trim removal Mo 070nm</v>
      </c>
      <c r="F135" s="130"/>
      <c r="G135" s="130" t="str">
        <f>'Check list'!I21</f>
        <v>ICP-F1MO70N</v>
      </c>
      <c r="H135" s="131" t="s">
        <v>414</v>
      </c>
      <c r="I135" s="130"/>
      <c r="J135" s="130"/>
      <c r="K135" s="130"/>
      <c r="L135" s="130"/>
      <c r="M135" s="129" t="s">
        <v>189</v>
      </c>
      <c r="N135" s="130" t="str">
        <f>"ETD_F10003_"&amp;'Check list'!E7</f>
        <v>ETD_F10003_FR003WM2A001E001</v>
      </c>
      <c r="O135" s="132"/>
      <c r="P135" s="133"/>
      <c r="Q135" s="134"/>
      <c r="R135" s="135"/>
      <c r="S135" s="136"/>
      <c r="T135" s="137"/>
    </row>
    <row r="136" s="12" customFormat="1" ht="14.4" spans="1:20">
      <c r="A136" s="128" t="str">
        <f t="shared" si="7"/>
        <v>FR003WM2A001E001</v>
      </c>
      <c r="B136" s="129" t="s">
        <v>63</v>
      </c>
      <c r="C136" s="294" t="s">
        <v>432</v>
      </c>
      <c r="D136" s="130" t="s">
        <v>196</v>
      </c>
      <c r="E136" s="130"/>
      <c r="F136" s="130"/>
      <c r="G136" s="130" t="s">
        <v>197</v>
      </c>
      <c r="H136" s="131" t="s">
        <v>198</v>
      </c>
      <c r="I136" s="130"/>
      <c r="J136" s="130"/>
      <c r="K136" s="130"/>
      <c r="L136" s="130"/>
      <c r="M136" s="129" t="s">
        <v>189</v>
      </c>
      <c r="N136" s="130" t="str">
        <f>"ETD_F10004_"&amp;'Check list'!E7</f>
        <v>ETD_F10004_FR003WM2A001E001</v>
      </c>
      <c r="O136" s="132"/>
      <c r="P136" s="133"/>
      <c r="Q136" s="134"/>
      <c r="R136" s="135"/>
      <c r="S136" s="136"/>
      <c r="T136" s="137"/>
    </row>
    <row r="137" s="12" customFormat="1" ht="14.4" spans="1:20">
      <c r="A137" s="128" t="str">
        <f t="shared" si="7"/>
        <v>FR003WM2A001E001</v>
      </c>
      <c r="B137" s="129" t="s">
        <v>63</v>
      </c>
      <c r="C137" s="294" t="s">
        <v>433</v>
      </c>
      <c r="D137" s="130" t="s">
        <v>191</v>
      </c>
      <c r="E137" s="130"/>
      <c r="F137" s="130"/>
      <c r="G137" s="130" t="s">
        <v>258</v>
      </c>
      <c r="H137" s="131" t="s">
        <v>193</v>
      </c>
      <c r="I137" s="130"/>
      <c r="J137" s="130"/>
      <c r="K137" s="130"/>
      <c r="L137" s="130"/>
      <c r="M137" s="129" t="s">
        <v>189</v>
      </c>
      <c r="N137" s="130" t="str">
        <f>"ETD_F10005_"&amp;'Check list'!E7</f>
        <v>ETD_F10005_FR003WM2A001E001</v>
      </c>
      <c r="O137" s="132"/>
      <c r="P137" s="133"/>
      <c r="Q137" s="134"/>
      <c r="R137" s="135"/>
      <c r="S137" s="136"/>
      <c r="T137" s="137"/>
    </row>
    <row r="138" s="12" customFormat="1" ht="14.4" spans="1:20">
      <c r="A138" s="128" t="str">
        <f t="shared" si="7"/>
        <v>FR003WM2A001E001</v>
      </c>
      <c r="B138" s="129" t="s">
        <v>63</v>
      </c>
      <c r="C138" s="294" t="s">
        <v>434</v>
      </c>
      <c r="D138" s="130" t="s">
        <v>170</v>
      </c>
      <c r="E138" s="130"/>
      <c r="F138" s="130"/>
      <c r="G138" s="130" t="s">
        <v>171</v>
      </c>
      <c r="H138" s="131" t="s">
        <v>172</v>
      </c>
      <c r="I138" s="130"/>
      <c r="J138" s="130"/>
      <c r="K138" s="130"/>
      <c r="L138" s="130"/>
      <c r="M138" s="129"/>
      <c r="N138" s="130"/>
      <c r="O138" s="132"/>
      <c r="P138" s="133"/>
      <c r="Q138" s="134"/>
      <c r="R138" s="135"/>
      <c r="S138" s="136"/>
      <c r="T138" s="137"/>
    </row>
    <row r="139" s="12" customFormat="1" ht="14.4" spans="1:20">
      <c r="A139" s="128" t="str">
        <f t="shared" si="7"/>
        <v>FR003WM2A001E001</v>
      </c>
      <c r="B139" s="129" t="s">
        <v>63</v>
      </c>
      <c r="C139" s="294" t="s">
        <v>435</v>
      </c>
      <c r="D139" s="130" t="s">
        <v>436</v>
      </c>
      <c r="E139" s="130"/>
      <c r="F139" s="130"/>
      <c r="G139" s="130" t="str">
        <f>"MTH-"&amp;'Check list'!$D$5&amp;"F1"</f>
        <v>MTH-EF041AF1</v>
      </c>
      <c r="H139" s="131" t="s">
        <v>235</v>
      </c>
      <c r="I139" s="130"/>
      <c r="J139" s="130"/>
      <c r="K139" s="130"/>
      <c r="L139" s="130" t="s">
        <v>437</v>
      </c>
      <c r="M139" s="129"/>
      <c r="N139" s="130"/>
      <c r="O139" s="132" t="s">
        <v>438</v>
      </c>
      <c r="P139" s="133">
        <v>160140</v>
      </c>
      <c r="Q139" s="134"/>
      <c r="R139" s="135"/>
      <c r="S139" s="136"/>
      <c r="T139" s="137"/>
    </row>
    <row r="140" s="12" customFormat="1" ht="14.4" spans="1:20">
      <c r="A140" s="128" t="str">
        <f t="shared" si="7"/>
        <v>FR003WM2A001E001</v>
      </c>
      <c r="B140" s="129" t="s">
        <v>63</v>
      </c>
      <c r="C140" s="294" t="s">
        <v>439</v>
      </c>
      <c r="D140" s="130" t="s">
        <v>212</v>
      </c>
      <c r="E140" s="130"/>
      <c r="F140" s="130"/>
      <c r="G140" s="130" t="s">
        <v>132</v>
      </c>
      <c r="H140" s="131" t="s">
        <v>186</v>
      </c>
      <c r="I140" s="130"/>
      <c r="J140" s="130"/>
      <c r="K140" s="130"/>
      <c r="L140" s="130"/>
      <c r="M140" s="129"/>
      <c r="N140" s="130"/>
      <c r="O140" s="132" t="s">
        <v>438</v>
      </c>
      <c r="P140" s="133">
        <v>160140</v>
      </c>
      <c r="Q140" s="134"/>
      <c r="R140" s="135"/>
      <c r="S140" s="136"/>
      <c r="T140" s="137"/>
    </row>
    <row r="141" s="12" customFormat="1" ht="14.4" spans="1:20">
      <c r="A141" s="128" t="str">
        <f t="shared" si="7"/>
        <v>FR003WM2A001E001</v>
      </c>
      <c r="B141" s="129" t="s">
        <v>63</v>
      </c>
      <c r="C141" s="294" t="s">
        <v>440</v>
      </c>
      <c r="D141" s="130" t="s">
        <v>214</v>
      </c>
      <c r="E141" s="130"/>
      <c r="F141" s="130"/>
      <c r="G141" s="130" t="s">
        <v>132</v>
      </c>
      <c r="H141" s="131" t="s">
        <v>215</v>
      </c>
      <c r="I141" s="130"/>
      <c r="J141" s="130"/>
      <c r="K141" s="130"/>
      <c r="L141" s="130"/>
      <c r="M141" s="129"/>
      <c r="N141" s="130"/>
      <c r="O141" s="132" t="s">
        <v>216</v>
      </c>
      <c r="P141" s="133">
        <v>160260</v>
      </c>
      <c r="Q141" s="134"/>
      <c r="R141" s="135"/>
      <c r="S141" s="136"/>
      <c r="T141" s="137"/>
    </row>
    <row r="142" s="9" customFormat="1" ht="14.4" spans="1:20">
      <c r="A142" s="42" t="str">
        <f t="shared" ref="A142:A155" si="8">$E$3</f>
        <v>FR003WM2A001E001</v>
      </c>
      <c r="B142" s="43" t="s">
        <v>441</v>
      </c>
      <c r="C142" s="282" t="s">
        <v>442</v>
      </c>
      <c r="D142" s="44" t="s">
        <v>170</v>
      </c>
      <c r="E142" s="44" t="s">
        <v>131</v>
      </c>
      <c r="F142" s="44" t="s">
        <v>131</v>
      </c>
      <c r="G142" s="44" t="s">
        <v>171</v>
      </c>
      <c r="H142" s="45" t="s">
        <v>172</v>
      </c>
      <c r="I142" s="44" t="s">
        <v>131</v>
      </c>
      <c r="J142" s="44" t="s">
        <v>131</v>
      </c>
      <c r="K142" s="44" t="s">
        <v>131</v>
      </c>
      <c r="L142" s="44" t="s">
        <v>131</v>
      </c>
      <c r="M142" s="43" t="s">
        <v>146</v>
      </c>
      <c r="N142" s="44" t="str">
        <f>"ETD_UM0001_"&amp;'Check list'!E7</f>
        <v>ETD_UM0001_FR003WM2A001E001</v>
      </c>
      <c r="O142" s="71" t="s">
        <v>131</v>
      </c>
      <c r="P142" s="72"/>
      <c r="Q142" s="92" t="s">
        <v>131</v>
      </c>
      <c r="R142" s="93" t="s">
        <v>131</v>
      </c>
      <c r="S142" s="94" t="s">
        <v>131</v>
      </c>
      <c r="T142" s="95" t="s">
        <v>131</v>
      </c>
    </row>
    <row r="143" s="9" customFormat="1" ht="14.4" spans="1:20">
      <c r="A143" s="42" t="str">
        <f t="shared" si="8"/>
        <v>FR003WM2A001E001</v>
      </c>
      <c r="B143" s="43" t="s">
        <v>441</v>
      </c>
      <c r="C143" s="282" t="s">
        <v>443</v>
      </c>
      <c r="D143" s="44" t="s">
        <v>444</v>
      </c>
      <c r="E143" s="44" t="s">
        <v>131</v>
      </c>
      <c r="F143" s="44" t="s">
        <v>131</v>
      </c>
      <c r="G143" s="44" t="str">
        <f>'Check list'!G22</f>
        <v>IP3000@EF041A-09</v>
      </c>
      <c r="H143" s="45" t="s">
        <v>175</v>
      </c>
      <c r="I143" s="44" t="s">
        <v>131</v>
      </c>
      <c r="J143" s="44" t="str">
        <f>'Check list'!$D$5&amp;"_09"</f>
        <v>EF041A_09</v>
      </c>
      <c r="K143" s="44" t="s">
        <v>131</v>
      </c>
      <c r="L143" s="44" t="s">
        <v>131</v>
      </c>
      <c r="M143" s="43" t="s">
        <v>146</v>
      </c>
      <c r="N143" s="44" t="str">
        <f>"ETD_UM0002_"&amp;'Check list'!E7</f>
        <v>ETD_UM0002_FR003WM2A001E001</v>
      </c>
      <c r="O143" s="71" t="s">
        <v>152</v>
      </c>
      <c r="P143" s="72">
        <v>180020</v>
      </c>
      <c r="Q143" s="92" t="s">
        <v>131</v>
      </c>
      <c r="R143" s="93" t="s">
        <v>131</v>
      </c>
      <c r="S143" s="94" t="s">
        <v>131</v>
      </c>
      <c r="T143" s="95" t="s">
        <v>131</v>
      </c>
    </row>
    <row r="144" s="9" customFormat="1" ht="14.4" spans="1:20">
      <c r="A144" s="42" t="str">
        <f t="shared" si="8"/>
        <v>FR003WM2A001E001</v>
      </c>
      <c r="B144" s="43" t="s">
        <v>441</v>
      </c>
      <c r="C144" s="282" t="s">
        <v>445</v>
      </c>
      <c r="D144" s="44" t="s">
        <v>446</v>
      </c>
      <c r="E144" s="44" t="s">
        <v>131</v>
      </c>
      <c r="F144" s="44" t="s">
        <v>131</v>
      </c>
      <c r="G144" s="44" t="str">
        <f>'Check list'!$D$5&amp;"/"&amp;'Check list'!$D$5&amp;"_PM_PH_B"</f>
        <v>EF041A/EF041A_PM_PH_B</v>
      </c>
      <c r="H144" s="45" t="s">
        <v>178</v>
      </c>
      <c r="I144" s="44" t="s">
        <v>131</v>
      </c>
      <c r="J144" s="44" t="s">
        <v>131</v>
      </c>
      <c r="K144" s="44" t="s">
        <v>131</v>
      </c>
      <c r="L144" s="44" t="s">
        <v>447</v>
      </c>
      <c r="M144" s="43"/>
      <c r="N144" s="44" t="s">
        <v>131</v>
      </c>
      <c r="O144" s="71" t="s">
        <v>243</v>
      </c>
      <c r="P144" s="72">
        <v>180020</v>
      </c>
      <c r="Q144" s="92" t="s">
        <v>131</v>
      </c>
      <c r="R144" s="93" t="s">
        <v>131</v>
      </c>
      <c r="S144" s="94" t="s">
        <v>131</v>
      </c>
      <c r="T144" s="95" t="s">
        <v>131</v>
      </c>
    </row>
    <row r="145" s="9" customFormat="1" ht="14.4" spans="1:20">
      <c r="A145" s="42" t="str">
        <f t="shared" si="8"/>
        <v>FR003WM2A001E001</v>
      </c>
      <c r="B145" s="43" t="s">
        <v>441</v>
      </c>
      <c r="C145" s="282" t="s">
        <v>448</v>
      </c>
      <c r="D145" s="44" t="s">
        <v>449</v>
      </c>
      <c r="E145" s="44" t="s">
        <v>131</v>
      </c>
      <c r="F145" s="44" t="s">
        <v>131</v>
      </c>
      <c r="G145" s="44" t="str">
        <f>"OVL"&amp;'Check list'!$D$5&amp;"-09"</f>
        <v>OVLEF041A-09</v>
      </c>
      <c r="H145" s="45" t="s">
        <v>249</v>
      </c>
      <c r="I145" s="44" t="s">
        <v>131</v>
      </c>
      <c r="J145" s="44" t="s">
        <v>131</v>
      </c>
      <c r="K145" s="44" t="s">
        <v>131</v>
      </c>
      <c r="L145" s="44" t="s">
        <v>450</v>
      </c>
      <c r="M145" s="43"/>
      <c r="N145" s="44" t="s">
        <v>131</v>
      </c>
      <c r="O145" s="71" t="s">
        <v>243</v>
      </c>
      <c r="P145" s="72">
        <v>180020</v>
      </c>
      <c r="Q145" s="92" t="s">
        <v>131</v>
      </c>
      <c r="R145" s="93" t="s">
        <v>131</v>
      </c>
      <c r="S145" s="94" t="s">
        <v>131</v>
      </c>
      <c r="T145" s="95" t="s">
        <v>131</v>
      </c>
    </row>
    <row r="146" s="9" customFormat="1" ht="14.4" spans="1:20">
      <c r="A146" s="42" t="str">
        <f t="shared" si="8"/>
        <v>FR003WM2A001E001</v>
      </c>
      <c r="B146" s="43" t="s">
        <v>441</v>
      </c>
      <c r="C146" s="282" t="s">
        <v>451</v>
      </c>
      <c r="D146" s="44" t="s">
        <v>185</v>
      </c>
      <c r="E146" s="44" t="s">
        <v>131</v>
      </c>
      <c r="F146" s="44" t="s">
        <v>131</v>
      </c>
      <c r="G146" s="44" t="s">
        <v>132</v>
      </c>
      <c r="H146" s="45" t="s">
        <v>186</v>
      </c>
      <c r="I146" s="44" t="s">
        <v>131</v>
      </c>
      <c r="J146" s="44" t="s">
        <v>131</v>
      </c>
      <c r="K146" s="44" t="s">
        <v>131</v>
      </c>
      <c r="L146" s="44" t="s">
        <v>131</v>
      </c>
      <c r="M146" s="43"/>
      <c r="N146" s="44" t="s">
        <v>131</v>
      </c>
      <c r="O146" s="71" t="s">
        <v>243</v>
      </c>
      <c r="P146" s="72">
        <v>180020</v>
      </c>
      <c r="Q146" s="92" t="s">
        <v>131</v>
      </c>
      <c r="R146" s="93" t="s">
        <v>131</v>
      </c>
      <c r="S146" s="94" t="s">
        <v>131</v>
      </c>
      <c r="T146" s="95" t="s">
        <v>131</v>
      </c>
    </row>
    <row r="147" s="9" customFormat="1" ht="14.4" spans="1:20">
      <c r="A147" s="42" t="str">
        <f t="shared" si="8"/>
        <v>FR003WM2A001E001</v>
      </c>
      <c r="B147" s="43" t="s">
        <v>441</v>
      </c>
      <c r="C147" s="282" t="s">
        <v>452</v>
      </c>
      <c r="D147" s="44" t="s">
        <v>453</v>
      </c>
      <c r="E147" s="44" t="str">
        <f>"PreM2 Trim removal Mo "&amp;'Check list'!D22&amp;"nm"</f>
        <v>PreM2 Trim removal Mo 058nm</v>
      </c>
      <c r="F147" s="44" t="s">
        <v>131</v>
      </c>
      <c r="G147" s="44" t="str">
        <f>'Check list'!I22</f>
        <v>TRM-MO280N-A</v>
      </c>
      <c r="H147" s="45" t="s">
        <v>414</v>
      </c>
      <c r="I147" s="44" t="s">
        <v>131</v>
      </c>
      <c r="J147" s="44" t="s">
        <v>131</v>
      </c>
      <c r="K147" s="44" t="s">
        <v>131</v>
      </c>
      <c r="L147" s="44" t="s">
        <v>131</v>
      </c>
      <c r="M147" s="43" t="s">
        <v>189</v>
      </c>
      <c r="N147" s="44" t="str">
        <f>"ETD_UM0003_"&amp;'Check list'!E7</f>
        <v>ETD_UM0003_FR003WM2A001E001</v>
      </c>
      <c r="O147" s="71"/>
      <c r="P147" s="72"/>
      <c r="Q147" s="92" t="s">
        <v>131</v>
      </c>
      <c r="R147" s="93" t="s">
        <v>131</v>
      </c>
      <c r="S147" s="94" t="s">
        <v>131</v>
      </c>
      <c r="T147" s="95" t="s">
        <v>131</v>
      </c>
    </row>
    <row r="148" s="9" customFormat="1" ht="14.4" spans="1:20">
      <c r="A148" s="42" t="str">
        <f t="shared" si="8"/>
        <v>FR003WM2A001E001</v>
      </c>
      <c r="B148" s="43" t="s">
        <v>441</v>
      </c>
      <c r="C148" s="282" t="s">
        <v>454</v>
      </c>
      <c r="D148" s="44" t="s">
        <v>196</v>
      </c>
      <c r="E148" s="44" t="s">
        <v>131</v>
      </c>
      <c r="F148" s="44" t="s">
        <v>131</v>
      </c>
      <c r="G148" s="44" t="s">
        <v>455</v>
      </c>
      <c r="H148" s="45" t="s">
        <v>198</v>
      </c>
      <c r="I148" s="44" t="s">
        <v>131</v>
      </c>
      <c r="J148" s="44" t="s">
        <v>131</v>
      </c>
      <c r="K148" s="44" t="s">
        <v>131</v>
      </c>
      <c r="L148" s="44" t="s">
        <v>131</v>
      </c>
      <c r="M148" s="43" t="s">
        <v>189</v>
      </c>
      <c r="N148" s="44" t="str">
        <f>"ETD_UM0004_"&amp;'Check list'!E7</f>
        <v>ETD_UM0004_FR003WM2A001E001</v>
      </c>
      <c r="O148" s="71" t="s">
        <v>131</v>
      </c>
      <c r="P148" s="72"/>
      <c r="Q148" s="92" t="s">
        <v>131</v>
      </c>
      <c r="R148" s="93" t="s">
        <v>131</v>
      </c>
      <c r="S148" s="94" t="s">
        <v>131</v>
      </c>
      <c r="T148" s="95" t="s">
        <v>131</v>
      </c>
    </row>
    <row r="149" s="9" customFormat="1" ht="14.4" spans="1:20">
      <c r="A149" s="42" t="str">
        <f t="shared" si="8"/>
        <v>FR003WM2A001E001</v>
      </c>
      <c r="B149" s="43" t="s">
        <v>441</v>
      </c>
      <c r="C149" s="282" t="s">
        <v>456</v>
      </c>
      <c r="D149" s="44" t="s">
        <v>191</v>
      </c>
      <c r="E149" s="44" t="s">
        <v>131</v>
      </c>
      <c r="F149" s="44" t="s">
        <v>131</v>
      </c>
      <c r="G149" s="44" t="s">
        <v>258</v>
      </c>
      <c r="H149" s="45" t="s">
        <v>193</v>
      </c>
      <c r="I149" s="44" t="s">
        <v>131</v>
      </c>
      <c r="J149" s="44" t="s">
        <v>131</v>
      </c>
      <c r="K149" s="44" t="s">
        <v>131</v>
      </c>
      <c r="L149" s="44" t="s">
        <v>131</v>
      </c>
      <c r="M149" s="43" t="s">
        <v>189</v>
      </c>
      <c r="N149" s="44" t="str">
        <f>"ETD_UM0005_"&amp;'Check list'!E7</f>
        <v>ETD_UM0005_FR003WM2A001E001</v>
      </c>
      <c r="O149" s="71" t="s">
        <v>131</v>
      </c>
      <c r="P149" s="72"/>
      <c r="Q149" s="92" t="s">
        <v>131</v>
      </c>
      <c r="R149" s="93" t="s">
        <v>131</v>
      </c>
      <c r="S149" s="94" t="s">
        <v>131</v>
      </c>
      <c r="T149" s="95" t="s">
        <v>131</v>
      </c>
    </row>
    <row r="150" s="9" customFormat="1" ht="14.4" spans="1:20">
      <c r="A150" s="42" t="str">
        <f t="shared" si="8"/>
        <v>FR003WM2A001E001</v>
      </c>
      <c r="B150" s="43" t="s">
        <v>441</v>
      </c>
      <c r="C150" s="282" t="s">
        <v>457</v>
      </c>
      <c r="D150" s="44" t="s">
        <v>170</v>
      </c>
      <c r="E150" s="44" t="s">
        <v>131</v>
      </c>
      <c r="F150" s="44" t="s">
        <v>131</v>
      </c>
      <c r="G150" s="44" t="s">
        <v>171</v>
      </c>
      <c r="H150" s="45" t="s">
        <v>172</v>
      </c>
      <c r="I150" s="44" t="s">
        <v>131</v>
      </c>
      <c r="J150" s="44" t="s">
        <v>131</v>
      </c>
      <c r="K150" s="44" t="s">
        <v>131</v>
      </c>
      <c r="L150" s="44" t="s">
        <v>131</v>
      </c>
      <c r="M150" s="43"/>
      <c r="N150" s="44" t="s">
        <v>131</v>
      </c>
      <c r="O150" s="71" t="s">
        <v>131</v>
      </c>
      <c r="P150" s="72"/>
      <c r="Q150" s="92" t="s">
        <v>131</v>
      </c>
      <c r="R150" s="93" t="s">
        <v>131</v>
      </c>
      <c r="S150" s="94" t="s">
        <v>131</v>
      </c>
      <c r="T150" s="95" t="s">
        <v>131</v>
      </c>
    </row>
    <row r="151" s="9" customFormat="1" ht="14.4" spans="1:20">
      <c r="A151" s="42" t="str">
        <f t="shared" si="8"/>
        <v>FR003WM2A001E001</v>
      </c>
      <c r="B151" s="43" t="s">
        <v>441</v>
      </c>
      <c r="C151" s="282" t="s">
        <v>458</v>
      </c>
      <c r="D151" s="44" t="s">
        <v>459</v>
      </c>
      <c r="E151" s="44"/>
      <c r="F151" s="44"/>
      <c r="G151" s="44" t="str">
        <f>"MTH-"&amp;'Check list'!$D$5&amp;"PM"</f>
        <v>MTH-EF041APM</v>
      </c>
      <c r="H151" s="45" t="s">
        <v>235</v>
      </c>
      <c r="I151" s="44"/>
      <c r="J151" s="44"/>
      <c r="K151" s="44"/>
      <c r="L151" s="44" t="s">
        <v>460</v>
      </c>
      <c r="M151" s="43"/>
      <c r="N151" s="44"/>
      <c r="O151" s="71" t="s">
        <v>461</v>
      </c>
      <c r="P151" s="72">
        <v>180140</v>
      </c>
      <c r="Q151" s="92"/>
      <c r="R151" s="93"/>
      <c r="S151" s="94"/>
      <c r="T151" s="95"/>
    </row>
    <row r="152" s="9" customFormat="1" ht="14.4" spans="1:20">
      <c r="A152" s="42" t="str">
        <f t="shared" si="8"/>
        <v>FR003WM2A001E001</v>
      </c>
      <c r="B152" s="43" t="s">
        <v>441</v>
      </c>
      <c r="C152" s="282" t="s">
        <v>462</v>
      </c>
      <c r="D152" s="44" t="s">
        <v>463</v>
      </c>
      <c r="E152" s="44" t="s">
        <v>131</v>
      </c>
      <c r="F152" s="44" t="s">
        <v>131</v>
      </c>
      <c r="G152" s="44" t="str">
        <f>'Check list'!$D$5&amp;"/"&amp;'Check list'!$D$5&amp;"_PM_ET_B"</f>
        <v>EF041A/EF041A_PM_ET_B</v>
      </c>
      <c r="H152" s="45" t="s">
        <v>178</v>
      </c>
      <c r="I152" s="44" t="s">
        <v>131</v>
      </c>
      <c r="J152" s="44" t="s">
        <v>131</v>
      </c>
      <c r="K152" s="44" t="s">
        <v>131</v>
      </c>
      <c r="L152" s="44" t="s">
        <v>464</v>
      </c>
      <c r="M152" s="43"/>
      <c r="N152" s="44" t="s">
        <v>131</v>
      </c>
      <c r="O152" s="71" t="s">
        <v>461</v>
      </c>
      <c r="P152" s="72">
        <v>180140</v>
      </c>
      <c r="Q152" s="92" t="s">
        <v>131</v>
      </c>
      <c r="R152" s="93" t="s">
        <v>131</v>
      </c>
      <c r="S152" s="94" t="s">
        <v>131</v>
      </c>
      <c r="T152" s="95" t="s">
        <v>131</v>
      </c>
    </row>
    <row r="153" s="9" customFormat="1" ht="14.4" spans="1:20">
      <c r="A153" s="42" t="str">
        <f t="shared" si="8"/>
        <v>FR003WM2A001E001</v>
      </c>
      <c r="B153" s="43" t="s">
        <v>441</v>
      </c>
      <c r="C153" s="282" t="s">
        <v>465</v>
      </c>
      <c r="D153" s="44" t="s">
        <v>212</v>
      </c>
      <c r="E153" s="44"/>
      <c r="F153" s="44" t="s">
        <v>131</v>
      </c>
      <c r="G153" s="44" t="s">
        <v>132</v>
      </c>
      <c r="H153" s="45" t="s">
        <v>186</v>
      </c>
      <c r="I153" s="44" t="s">
        <v>131</v>
      </c>
      <c r="J153" s="44" t="s">
        <v>131</v>
      </c>
      <c r="K153" s="44" t="s">
        <v>131</v>
      </c>
      <c r="L153" s="44" t="s">
        <v>131</v>
      </c>
      <c r="M153" s="43"/>
      <c r="N153" s="44" t="s">
        <v>131</v>
      </c>
      <c r="O153" s="71" t="s">
        <v>461</v>
      </c>
      <c r="P153" s="72">
        <v>180140</v>
      </c>
      <c r="Q153" s="92"/>
      <c r="R153" s="93"/>
      <c r="S153" s="94"/>
      <c r="T153" s="95"/>
    </row>
    <row r="154" s="9" customFormat="1" ht="14.4" spans="1:20">
      <c r="A154" s="42" t="str">
        <f t="shared" si="8"/>
        <v>FR003WM2A001E001</v>
      </c>
      <c r="B154" s="43" t="s">
        <v>441</v>
      </c>
      <c r="C154" s="282" t="s">
        <v>466</v>
      </c>
      <c r="D154" s="44" t="s">
        <v>214</v>
      </c>
      <c r="E154" s="44"/>
      <c r="F154" s="44" t="s">
        <v>131</v>
      </c>
      <c r="G154" s="44" t="s">
        <v>132</v>
      </c>
      <c r="H154" s="45" t="s">
        <v>215</v>
      </c>
      <c r="I154" s="44" t="s">
        <v>131</v>
      </c>
      <c r="J154" s="44" t="s">
        <v>131</v>
      </c>
      <c r="K154" s="44" t="s">
        <v>131</v>
      </c>
      <c r="L154" s="44" t="s">
        <v>131</v>
      </c>
      <c r="M154" s="43"/>
      <c r="N154" s="44" t="s">
        <v>131</v>
      </c>
      <c r="O154" s="71" t="s">
        <v>216</v>
      </c>
      <c r="P154" s="72">
        <v>180280</v>
      </c>
      <c r="Q154" s="92" t="s">
        <v>131</v>
      </c>
      <c r="R154" s="93" t="s">
        <v>131</v>
      </c>
      <c r="S154" s="94" t="s">
        <v>131</v>
      </c>
      <c r="T154" s="95" t="s">
        <v>131</v>
      </c>
    </row>
    <row r="155" s="14" customFormat="1" ht="14.4" spans="1:20">
      <c r="A155" s="109" t="str">
        <f t="shared" si="8"/>
        <v>FR003WM2A001E001</v>
      </c>
      <c r="B155" s="110" t="s">
        <v>467</v>
      </c>
      <c r="C155" s="293" t="s">
        <v>468</v>
      </c>
      <c r="D155" s="111" t="s">
        <v>170</v>
      </c>
      <c r="E155" s="111" t="s">
        <v>131</v>
      </c>
      <c r="F155" s="111" t="s">
        <v>131</v>
      </c>
      <c r="G155" s="111" t="s">
        <v>171</v>
      </c>
      <c r="H155" s="112" t="s">
        <v>172</v>
      </c>
      <c r="I155" s="111" t="s">
        <v>131</v>
      </c>
      <c r="J155" s="111" t="s">
        <v>131</v>
      </c>
      <c r="K155" s="111"/>
      <c r="L155" s="111"/>
      <c r="M155" s="110"/>
      <c r="N155" s="111"/>
      <c r="O155" s="118"/>
      <c r="P155" s="119"/>
      <c r="Q155" s="124"/>
      <c r="R155" s="125"/>
      <c r="S155" s="126"/>
      <c r="T155" s="127"/>
    </row>
    <row r="156" s="14" customFormat="1" ht="14.4" spans="1:20">
      <c r="A156" s="109" t="str">
        <f t="shared" ref="A156:A167" si="9">$E$3</f>
        <v>FR003WM2A001E001</v>
      </c>
      <c r="B156" s="110" t="s">
        <v>467</v>
      </c>
      <c r="C156" s="293" t="s">
        <v>469</v>
      </c>
      <c r="D156" s="111" t="s">
        <v>470</v>
      </c>
      <c r="E156" s="111" t="s">
        <v>131</v>
      </c>
      <c r="F156" s="111" t="s">
        <v>131</v>
      </c>
      <c r="G156" s="111" t="str">
        <f>'Check list'!G23</f>
        <v>IP3000@EF041A-10</v>
      </c>
      <c r="H156" s="112" t="s">
        <v>175</v>
      </c>
      <c r="I156" s="111" t="s">
        <v>131</v>
      </c>
      <c r="J156" s="111" t="str">
        <f>'Check list'!$D$5&amp;"_10"</f>
        <v>EF041A_10</v>
      </c>
      <c r="K156" s="111"/>
      <c r="L156" s="111"/>
      <c r="M156" s="110"/>
      <c r="N156" s="111"/>
      <c r="O156" s="118"/>
      <c r="P156" s="119"/>
      <c r="Q156" s="124"/>
      <c r="R156" s="125"/>
      <c r="S156" s="126"/>
      <c r="T156" s="127"/>
    </row>
    <row r="157" s="14" customFormat="1" ht="14.4" spans="1:20">
      <c r="A157" s="109" t="str">
        <f t="shared" si="9"/>
        <v>FR003WM2A001E001</v>
      </c>
      <c r="B157" s="110" t="s">
        <v>467</v>
      </c>
      <c r="C157" s="293" t="s">
        <v>471</v>
      </c>
      <c r="D157" s="111" t="s">
        <v>472</v>
      </c>
      <c r="E157" s="111" t="s">
        <v>131</v>
      </c>
      <c r="F157" s="111" t="s">
        <v>131</v>
      </c>
      <c r="G157" s="111" t="str">
        <f>'Check list'!$D$5&amp;"/"&amp;'Check list'!$D$5&amp;"_P3_PH_B"</f>
        <v>EF041A/EF041A_P3_PH_B</v>
      </c>
      <c r="H157" s="112" t="s">
        <v>178</v>
      </c>
      <c r="I157" s="111" t="s">
        <v>131</v>
      </c>
      <c r="J157" s="111" t="s">
        <v>131</v>
      </c>
      <c r="K157" s="111"/>
      <c r="L157" s="111"/>
      <c r="M157" s="110"/>
      <c r="N157" s="111"/>
      <c r="O157" s="118"/>
      <c r="P157" s="119"/>
      <c r="Q157" s="124"/>
      <c r="R157" s="125"/>
      <c r="S157" s="126"/>
      <c r="T157" s="127"/>
    </row>
    <row r="158" s="14" customFormat="1" ht="14.4" spans="1:20">
      <c r="A158" s="109" t="str">
        <f t="shared" si="9"/>
        <v>FR003WM2A001E001</v>
      </c>
      <c r="B158" s="110" t="s">
        <v>467</v>
      </c>
      <c r="C158" s="293" t="s">
        <v>473</v>
      </c>
      <c r="D158" s="111" t="s">
        <v>474</v>
      </c>
      <c r="E158" s="111" t="s">
        <v>131</v>
      </c>
      <c r="F158" s="111" t="s">
        <v>131</v>
      </c>
      <c r="G158" s="111" t="str">
        <f>"OVL"&amp;'Check list'!$D$5&amp;"-10"</f>
        <v>OVLEF041A-10</v>
      </c>
      <c r="H158" s="112" t="s">
        <v>249</v>
      </c>
      <c r="I158" s="111" t="s">
        <v>131</v>
      </c>
      <c r="J158" s="111" t="s">
        <v>131</v>
      </c>
      <c r="K158" s="111"/>
      <c r="L158" s="111"/>
      <c r="M158" s="110"/>
      <c r="N158" s="111"/>
      <c r="O158" s="118"/>
      <c r="P158" s="119"/>
      <c r="Q158" s="124"/>
      <c r="R158" s="125"/>
      <c r="S158" s="126"/>
      <c r="T158" s="127"/>
    </row>
    <row r="159" s="14" customFormat="1" ht="14.4" spans="1:20">
      <c r="A159" s="109" t="str">
        <f t="shared" si="9"/>
        <v>FR003WM2A001E001</v>
      </c>
      <c r="B159" s="110" t="s">
        <v>467</v>
      </c>
      <c r="C159" s="293" t="s">
        <v>475</v>
      </c>
      <c r="D159" s="111" t="s">
        <v>185</v>
      </c>
      <c r="E159" s="111" t="s">
        <v>131</v>
      </c>
      <c r="F159" s="111" t="s">
        <v>131</v>
      </c>
      <c r="G159" s="111" t="s">
        <v>132</v>
      </c>
      <c r="H159" s="112" t="s">
        <v>186</v>
      </c>
      <c r="I159" s="111" t="s">
        <v>131</v>
      </c>
      <c r="J159" s="111" t="s">
        <v>131</v>
      </c>
      <c r="K159" s="111"/>
      <c r="L159" s="111"/>
      <c r="M159" s="110"/>
      <c r="N159" s="111"/>
      <c r="O159" s="118"/>
      <c r="P159" s="119"/>
      <c r="Q159" s="124"/>
      <c r="R159" s="125"/>
      <c r="S159" s="126"/>
      <c r="T159" s="127"/>
    </row>
    <row r="160" s="14" customFormat="1" ht="14.4" spans="1:20">
      <c r="A160" s="109" t="str">
        <f t="shared" si="9"/>
        <v>FR003WM2A001E001</v>
      </c>
      <c r="B160" s="110" t="s">
        <v>467</v>
      </c>
      <c r="C160" s="293" t="s">
        <v>476</v>
      </c>
      <c r="D160" s="111" t="s">
        <v>477</v>
      </c>
      <c r="E160" s="111" t="str">
        <f>"PreM3 Trim removal Mo "&amp;'Check list'!D23&amp;"nm"</f>
        <v>PreM3 Trim removal Mo 011nm</v>
      </c>
      <c r="F160" s="111" t="s">
        <v>131</v>
      </c>
      <c r="G160" s="111" t="str">
        <f>'Check list'!I23</f>
        <v>TRM-MO280N-A</v>
      </c>
      <c r="H160" s="112" t="s">
        <v>414</v>
      </c>
      <c r="I160" s="111" t="s">
        <v>131</v>
      </c>
      <c r="J160" s="111" t="s">
        <v>131</v>
      </c>
      <c r="K160" s="111"/>
      <c r="L160" s="111"/>
      <c r="M160" s="110"/>
      <c r="N160" s="111"/>
      <c r="O160" s="118"/>
      <c r="P160" s="119"/>
      <c r="Q160" s="124"/>
      <c r="R160" s="125"/>
      <c r="S160" s="126"/>
      <c r="T160" s="127"/>
    </row>
    <row r="161" s="14" customFormat="1" ht="14.4" spans="1:20">
      <c r="A161" s="109" t="str">
        <f t="shared" si="9"/>
        <v>FR003WM2A001E001</v>
      </c>
      <c r="B161" s="110" t="s">
        <v>467</v>
      </c>
      <c r="C161" s="293" t="s">
        <v>478</v>
      </c>
      <c r="D161" s="111" t="s">
        <v>196</v>
      </c>
      <c r="E161" s="111" t="s">
        <v>131</v>
      </c>
      <c r="F161" s="111" t="s">
        <v>131</v>
      </c>
      <c r="G161" s="111" t="s">
        <v>479</v>
      </c>
      <c r="H161" s="112" t="s">
        <v>198</v>
      </c>
      <c r="I161" s="111" t="s">
        <v>131</v>
      </c>
      <c r="J161" s="111" t="s">
        <v>131</v>
      </c>
      <c r="K161" s="111"/>
      <c r="L161" s="111"/>
      <c r="M161" s="110"/>
      <c r="N161" s="111"/>
      <c r="O161" s="118"/>
      <c r="P161" s="119"/>
      <c r="Q161" s="124"/>
      <c r="R161" s="125"/>
      <c r="S161" s="126"/>
      <c r="T161" s="127"/>
    </row>
    <row r="162" s="14" customFormat="1" ht="14.4" spans="1:20">
      <c r="A162" s="109" t="str">
        <f t="shared" si="9"/>
        <v>FR003WM2A001E001</v>
      </c>
      <c r="B162" s="110" t="s">
        <v>467</v>
      </c>
      <c r="C162" s="293" t="s">
        <v>480</v>
      </c>
      <c r="D162" s="111" t="s">
        <v>191</v>
      </c>
      <c r="E162" s="111" t="s">
        <v>131</v>
      </c>
      <c r="F162" s="111" t="s">
        <v>131</v>
      </c>
      <c r="G162" s="111" t="s">
        <v>258</v>
      </c>
      <c r="H162" s="112" t="s">
        <v>193</v>
      </c>
      <c r="I162" s="111" t="s">
        <v>131</v>
      </c>
      <c r="J162" s="111" t="s">
        <v>131</v>
      </c>
      <c r="K162" s="111"/>
      <c r="L162" s="111"/>
      <c r="M162" s="110"/>
      <c r="N162" s="111"/>
      <c r="O162" s="118"/>
      <c r="P162" s="119"/>
      <c r="Q162" s="124"/>
      <c r="R162" s="125"/>
      <c r="S162" s="126"/>
      <c r="T162" s="127"/>
    </row>
    <row r="163" s="14" customFormat="1" ht="14.4" spans="1:20">
      <c r="A163" s="109" t="str">
        <f t="shared" si="9"/>
        <v>FR003WM2A001E001</v>
      </c>
      <c r="B163" s="110" t="s">
        <v>467</v>
      </c>
      <c r="C163" s="293" t="s">
        <v>481</v>
      </c>
      <c r="D163" s="111" t="s">
        <v>170</v>
      </c>
      <c r="E163" s="111" t="s">
        <v>131</v>
      </c>
      <c r="F163" s="111" t="s">
        <v>131</v>
      </c>
      <c r="G163" s="111" t="s">
        <v>171</v>
      </c>
      <c r="H163" s="112" t="s">
        <v>172</v>
      </c>
      <c r="I163" s="111" t="s">
        <v>131</v>
      </c>
      <c r="J163" s="111" t="s">
        <v>131</v>
      </c>
      <c r="K163" s="111"/>
      <c r="L163" s="111"/>
      <c r="M163" s="110"/>
      <c r="N163" s="111"/>
      <c r="O163" s="118"/>
      <c r="P163" s="119"/>
      <c r="Q163" s="124"/>
      <c r="R163" s="125"/>
      <c r="S163" s="126"/>
      <c r="T163" s="127"/>
    </row>
    <row r="164" s="14" customFormat="1" ht="14.4" spans="1:20">
      <c r="A164" s="109" t="str">
        <f t="shared" si="9"/>
        <v>FR003WM2A001E001</v>
      </c>
      <c r="B164" s="110" t="s">
        <v>467</v>
      </c>
      <c r="C164" s="293" t="s">
        <v>482</v>
      </c>
      <c r="D164" s="111" t="s">
        <v>483</v>
      </c>
      <c r="E164" s="111"/>
      <c r="F164" s="111"/>
      <c r="G164" s="111" t="str">
        <f>"MTH-"&amp;'Check list'!$D$5&amp;"P3"</f>
        <v>MTH-EF041AP3</v>
      </c>
      <c r="H164" s="112" t="s">
        <v>235</v>
      </c>
      <c r="I164" s="111"/>
      <c r="J164" s="111"/>
      <c r="K164" s="111"/>
      <c r="L164" s="111"/>
      <c r="M164" s="110"/>
      <c r="N164" s="111"/>
      <c r="O164" s="118"/>
      <c r="P164" s="119"/>
      <c r="Q164" s="124"/>
      <c r="R164" s="125"/>
      <c r="S164" s="126"/>
      <c r="T164" s="127"/>
    </row>
    <row r="165" s="14" customFormat="1" ht="14.4" spans="1:20">
      <c r="A165" s="109" t="str">
        <f t="shared" si="9"/>
        <v>FR003WM2A001E001</v>
      </c>
      <c r="B165" s="110" t="s">
        <v>467</v>
      </c>
      <c r="C165" s="293" t="s">
        <v>484</v>
      </c>
      <c r="D165" s="111" t="s">
        <v>485</v>
      </c>
      <c r="E165" s="111" t="s">
        <v>131</v>
      </c>
      <c r="F165" s="111" t="s">
        <v>131</v>
      </c>
      <c r="G165" s="111" t="str">
        <f>'Check list'!$D$5&amp;"/"&amp;'Check list'!$D$5&amp;"_P3_ET_B"</f>
        <v>EF041A/EF041A_P3_ET_B</v>
      </c>
      <c r="H165" s="112" t="s">
        <v>178</v>
      </c>
      <c r="I165" s="111" t="s">
        <v>131</v>
      </c>
      <c r="J165" s="111" t="s">
        <v>131</v>
      </c>
      <c r="K165" s="111"/>
      <c r="L165" s="111"/>
      <c r="M165" s="110"/>
      <c r="N165" s="111"/>
      <c r="O165" s="118"/>
      <c r="P165" s="119"/>
      <c r="Q165" s="124"/>
      <c r="R165" s="125"/>
      <c r="S165" s="126"/>
      <c r="T165" s="127"/>
    </row>
    <row r="166" s="14" customFormat="1" ht="14.4" spans="1:20">
      <c r="A166" s="109" t="str">
        <f t="shared" si="9"/>
        <v>FR003WM2A001E001</v>
      </c>
      <c r="B166" s="110" t="s">
        <v>467</v>
      </c>
      <c r="C166" s="293" t="s">
        <v>486</v>
      </c>
      <c r="D166" s="111" t="s">
        <v>212</v>
      </c>
      <c r="E166" s="111"/>
      <c r="F166" s="111" t="s">
        <v>131</v>
      </c>
      <c r="G166" s="111" t="s">
        <v>132</v>
      </c>
      <c r="H166" s="112" t="s">
        <v>186</v>
      </c>
      <c r="I166" s="111" t="s">
        <v>131</v>
      </c>
      <c r="J166" s="111" t="s">
        <v>131</v>
      </c>
      <c r="K166" s="111"/>
      <c r="L166" s="111"/>
      <c r="M166" s="110"/>
      <c r="N166" s="111"/>
      <c r="O166" s="118"/>
      <c r="P166" s="119"/>
      <c r="Q166" s="124"/>
      <c r="R166" s="125"/>
      <c r="S166" s="126"/>
      <c r="T166" s="127"/>
    </row>
    <row r="167" s="14" customFormat="1" ht="14.4" spans="1:20">
      <c r="A167" s="109" t="str">
        <f t="shared" si="9"/>
        <v>FR003WM2A001E001</v>
      </c>
      <c r="B167" s="110" t="s">
        <v>467</v>
      </c>
      <c r="C167" s="293" t="s">
        <v>487</v>
      </c>
      <c r="D167" s="111" t="s">
        <v>214</v>
      </c>
      <c r="E167" s="111"/>
      <c r="F167" s="111" t="s">
        <v>131</v>
      </c>
      <c r="G167" s="111" t="s">
        <v>132</v>
      </c>
      <c r="H167" s="112" t="s">
        <v>215</v>
      </c>
      <c r="I167" s="111" t="s">
        <v>131</v>
      </c>
      <c r="J167" s="111" t="s">
        <v>131</v>
      </c>
      <c r="K167" s="111"/>
      <c r="L167" s="111"/>
      <c r="M167" s="110"/>
      <c r="N167" s="111"/>
      <c r="O167" s="118"/>
      <c r="P167" s="119"/>
      <c r="Q167" s="124"/>
      <c r="R167" s="125"/>
      <c r="S167" s="126"/>
      <c r="T167" s="127"/>
    </row>
    <row r="168" s="10" customFormat="1" ht="14.4" spans="1:20">
      <c r="A168" s="46" t="str">
        <f t="shared" ref="A168:A179" si="10">$E$3</f>
        <v>FR003WM2A001E001</v>
      </c>
      <c r="B168" s="47" t="s">
        <v>70</v>
      </c>
      <c r="C168" s="285" t="s">
        <v>488</v>
      </c>
      <c r="D168" s="48" t="s">
        <v>170</v>
      </c>
      <c r="E168" s="48"/>
      <c r="F168" s="48" t="s">
        <v>131</v>
      </c>
      <c r="G168" s="48" t="s">
        <v>171</v>
      </c>
      <c r="H168" s="49" t="s">
        <v>172</v>
      </c>
      <c r="I168" s="48" t="s">
        <v>131</v>
      </c>
      <c r="J168" s="48" t="s">
        <v>131</v>
      </c>
      <c r="K168" s="48" t="s">
        <v>131</v>
      </c>
      <c r="L168" s="48" t="s">
        <v>131</v>
      </c>
      <c r="M168" s="47" t="s">
        <v>146</v>
      </c>
      <c r="N168" s="48" t="str">
        <f>"ETD_T10001_"&amp;'Check list'!E7</f>
        <v>ETD_T10001_FR003WM2A001E001</v>
      </c>
      <c r="O168" s="76" t="s">
        <v>131</v>
      </c>
      <c r="P168" s="77"/>
      <c r="Q168" s="96" t="s">
        <v>131</v>
      </c>
      <c r="R168" s="97" t="s">
        <v>131</v>
      </c>
      <c r="S168" s="98" t="s">
        <v>131</v>
      </c>
      <c r="T168" s="99" t="s">
        <v>131</v>
      </c>
    </row>
    <row r="169" s="10" customFormat="1" ht="14.4" spans="1:20">
      <c r="A169" s="46" t="str">
        <f t="shared" si="10"/>
        <v>FR003WM2A001E001</v>
      </c>
      <c r="B169" s="47" t="s">
        <v>70</v>
      </c>
      <c r="C169" s="285" t="s">
        <v>489</v>
      </c>
      <c r="D169" s="48" t="s">
        <v>490</v>
      </c>
      <c r="E169" s="48"/>
      <c r="F169" s="48" t="s">
        <v>131</v>
      </c>
      <c r="G169" s="48" t="str">
        <f>'Check list'!G24</f>
        <v>IP3000@EF041A-35</v>
      </c>
      <c r="H169" s="49" t="s">
        <v>175</v>
      </c>
      <c r="I169" s="48" t="s">
        <v>131</v>
      </c>
      <c r="J169" s="48" t="str">
        <f>'Check list'!$D$5&amp;"_35"</f>
        <v>EF041A_35</v>
      </c>
      <c r="K169" s="48" t="s">
        <v>131</v>
      </c>
      <c r="L169" s="48" t="s">
        <v>131</v>
      </c>
      <c r="M169" s="47" t="s">
        <v>146</v>
      </c>
      <c r="N169" s="48" t="str">
        <f>"ETD_T10002_"&amp;'Check list'!E7</f>
        <v>ETD_T10002_FR003WM2A001E001</v>
      </c>
      <c r="O169" s="76" t="s">
        <v>152</v>
      </c>
      <c r="P169" s="77">
        <v>200020</v>
      </c>
      <c r="Q169" s="96" t="s">
        <v>131</v>
      </c>
      <c r="R169" s="97" t="s">
        <v>131</v>
      </c>
      <c r="S169" s="98" t="s">
        <v>131</v>
      </c>
      <c r="T169" s="99" t="s">
        <v>131</v>
      </c>
    </row>
    <row r="170" s="10" customFormat="1" ht="14.4" spans="1:20">
      <c r="A170" s="46" t="str">
        <f t="shared" si="10"/>
        <v>FR003WM2A001E001</v>
      </c>
      <c r="B170" s="47" t="s">
        <v>70</v>
      </c>
      <c r="C170" s="285" t="s">
        <v>491</v>
      </c>
      <c r="D170" s="48" t="s">
        <v>492</v>
      </c>
      <c r="E170" s="48"/>
      <c r="F170" s="48" t="s">
        <v>131</v>
      </c>
      <c r="G170" s="48" t="str">
        <f>'Check list'!$D$5&amp;"/"&amp;'Check list'!$D$5&amp;"_T1_PH_B"</f>
        <v>EF041A/EF041A_T1_PH_B</v>
      </c>
      <c r="H170" s="49" t="s">
        <v>178</v>
      </c>
      <c r="I170" s="48" t="s">
        <v>131</v>
      </c>
      <c r="J170" s="48" t="s">
        <v>131</v>
      </c>
      <c r="K170" s="48" t="s">
        <v>131</v>
      </c>
      <c r="L170" s="48" t="s">
        <v>493</v>
      </c>
      <c r="M170" s="47"/>
      <c r="N170" s="48"/>
      <c r="O170" s="76" t="s">
        <v>243</v>
      </c>
      <c r="P170" s="77">
        <v>200020</v>
      </c>
      <c r="Q170" s="96" t="s">
        <v>131</v>
      </c>
      <c r="R170" s="97" t="s">
        <v>131</v>
      </c>
      <c r="S170" s="98" t="s">
        <v>131</v>
      </c>
      <c r="T170" s="99" t="s">
        <v>131</v>
      </c>
    </row>
    <row r="171" s="10" customFormat="1" ht="14.4" spans="1:20">
      <c r="A171" s="46" t="str">
        <f t="shared" si="10"/>
        <v>FR003WM2A001E001</v>
      </c>
      <c r="B171" s="47" t="s">
        <v>70</v>
      </c>
      <c r="C171" s="285" t="s">
        <v>494</v>
      </c>
      <c r="D171" s="48" t="s">
        <v>248</v>
      </c>
      <c r="E171" s="48"/>
      <c r="F171" s="48" t="s">
        <v>131</v>
      </c>
      <c r="G171" s="48" t="str">
        <f>"OVL"&amp;'Check list'!$D$5&amp;"-35"</f>
        <v>OVLEF041A-35</v>
      </c>
      <c r="H171" s="49" t="s">
        <v>249</v>
      </c>
      <c r="I171" s="48" t="s">
        <v>131</v>
      </c>
      <c r="J171" s="48" t="s">
        <v>131</v>
      </c>
      <c r="K171" s="48" t="s">
        <v>131</v>
      </c>
      <c r="L171" s="48" t="s">
        <v>495</v>
      </c>
      <c r="M171" s="47"/>
      <c r="N171" s="48"/>
      <c r="O171" s="76" t="s">
        <v>243</v>
      </c>
      <c r="P171" s="77">
        <v>200020</v>
      </c>
      <c r="Q171" s="96" t="s">
        <v>131</v>
      </c>
      <c r="R171" s="97" t="s">
        <v>131</v>
      </c>
      <c r="S171" s="98" t="s">
        <v>131</v>
      </c>
      <c r="T171" s="99" t="s">
        <v>131</v>
      </c>
    </row>
    <row r="172" s="10" customFormat="1" ht="14.4" spans="1:20">
      <c r="A172" s="46" t="str">
        <f t="shared" si="10"/>
        <v>FR003WM2A001E001</v>
      </c>
      <c r="B172" s="47" t="s">
        <v>70</v>
      </c>
      <c r="C172" s="285" t="s">
        <v>496</v>
      </c>
      <c r="D172" s="48" t="s">
        <v>185</v>
      </c>
      <c r="E172" s="48"/>
      <c r="F172" s="48" t="s">
        <v>131</v>
      </c>
      <c r="G172" s="48" t="s">
        <v>132</v>
      </c>
      <c r="H172" s="49" t="s">
        <v>186</v>
      </c>
      <c r="I172" s="48" t="s">
        <v>131</v>
      </c>
      <c r="J172" s="48" t="s">
        <v>131</v>
      </c>
      <c r="K172" s="48" t="s">
        <v>131</v>
      </c>
      <c r="L172" s="48" t="s">
        <v>131</v>
      </c>
      <c r="M172" s="47"/>
      <c r="N172" s="48"/>
      <c r="O172" s="76" t="s">
        <v>243</v>
      </c>
      <c r="P172" s="77">
        <v>200020</v>
      </c>
      <c r="Q172" s="96" t="s">
        <v>131</v>
      </c>
      <c r="R172" s="97" t="s">
        <v>131</v>
      </c>
      <c r="S172" s="98" t="s">
        <v>131</v>
      </c>
      <c r="T172" s="99" t="s">
        <v>131</v>
      </c>
    </row>
    <row r="173" s="10" customFormat="1" ht="14.4" spans="1:20">
      <c r="A173" s="46" t="str">
        <f t="shared" si="10"/>
        <v>FR003WM2A001E001</v>
      </c>
      <c r="B173" s="47" t="s">
        <v>70</v>
      </c>
      <c r="C173" s="285" t="s">
        <v>497</v>
      </c>
      <c r="D173" s="48" t="s">
        <v>498</v>
      </c>
      <c r="E173" s="48" t="str">
        <f>"T1 Trim removal Mo "&amp;'Check list'!D24&amp;"nm"</f>
        <v>T1 Trim removal Mo 010nm</v>
      </c>
      <c r="F173" s="48" t="s">
        <v>131</v>
      </c>
      <c r="G173" s="48" t="str">
        <f>'Check list'!I24</f>
        <v>TRM-MO280N-A</v>
      </c>
      <c r="H173" s="49" t="s">
        <v>414</v>
      </c>
      <c r="I173" s="48" t="s">
        <v>131</v>
      </c>
      <c r="J173" s="48" t="s">
        <v>131</v>
      </c>
      <c r="K173" s="48" t="s">
        <v>131</v>
      </c>
      <c r="L173" s="48" t="s">
        <v>131</v>
      </c>
      <c r="M173" s="47" t="s">
        <v>189</v>
      </c>
      <c r="N173" s="48" t="str">
        <f>"ETD_T10003_"&amp;'Check list'!E7</f>
        <v>ETD_T10003_FR003WM2A001E001</v>
      </c>
      <c r="O173" s="76"/>
      <c r="P173" s="77"/>
      <c r="Q173" s="96" t="s">
        <v>131</v>
      </c>
      <c r="R173" s="97" t="s">
        <v>131</v>
      </c>
      <c r="S173" s="98" t="s">
        <v>131</v>
      </c>
      <c r="T173" s="99" t="s">
        <v>131</v>
      </c>
    </row>
    <row r="174" s="10" customFormat="1" ht="14.4" spans="1:20">
      <c r="A174" s="46" t="str">
        <f t="shared" si="10"/>
        <v>FR003WM2A001E001</v>
      </c>
      <c r="B174" s="47" t="s">
        <v>70</v>
      </c>
      <c r="C174" s="285" t="s">
        <v>499</v>
      </c>
      <c r="D174" s="48" t="s">
        <v>196</v>
      </c>
      <c r="E174" s="48"/>
      <c r="F174" s="48" t="s">
        <v>131</v>
      </c>
      <c r="G174" s="48" t="s">
        <v>197</v>
      </c>
      <c r="H174" s="49" t="s">
        <v>198</v>
      </c>
      <c r="I174" s="48" t="s">
        <v>131</v>
      </c>
      <c r="J174" s="48" t="s">
        <v>131</v>
      </c>
      <c r="K174" s="48" t="s">
        <v>131</v>
      </c>
      <c r="L174" s="48" t="s">
        <v>131</v>
      </c>
      <c r="M174" s="47" t="s">
        <v>189</v>
      </c>
      <c r="N174" s="48" t="str">
        <f>"ETD_T10004_"&amp;'Check list'!E7</f>
        <v>ETD_T10004_FR003WM2A001E001</v>
      </c>
      <c r="O174" s="76" t="s">
        <v>131</v>
      </c>
      <c r="P174" s="77"/>
      <c r="Q174" s="96" t="s">
        <v>131</v>
      </c>
      <c r="R174" s="97" t="s">
        <v>131</v>
      </c>
      <c r="S174" s="98" t="s">
        <v>131</v>
      </c>
      <c r="T174" s="99" t="s">
        <v>131</v>
      </c>
    </row>
    <row r="175" s="10" customFormat="1" ht="14.4" spans="1:20">
      <c r="A175" s="46" t="str">
        <f t="shared" si="10"/>
        <v>FR003WM2A001E001</v>
      </c>
      <c r="B175" s="47" t="s">
        <v>70</v>
      </c>
      <c r="C175" s="285" t="s">
        <v>500</v>
      </c>
      <c r="D175" s="48" t="s">
        <v>191</v>
      </c>
      <c r="E175" s="48"/>
      <c r="F175" s="48" t="s">
        <v>131</v>
      </c>
      <c r="G175" s="48" t="s">
        <v>258</v>
      </c>
      <c r="H175" s="49" t="s">
        <v>193</v>
      </c>
      <c r="I175" s="48" t="s">
        <v>131</v>
      </c>
      <c r="J175" s="48" t="s">
        <v>131</v>
      </c>
      <c r="K175" s="48" t="s">
        <v>131</v>
      </c>
      <c r="L175" s="48" t="s">
        <v>131</v>
      </c>
      <c r="M175" s="47" t="s">
        <v>189</v>
      </c>
      <c r="N175" s="48" t="str">
        <f>"ETD_T10005_"&amp;'Check list'!E7</f>
        <v>ETD_T10005_FR003WM2A001E001</v>
      </c>
      <c r="O175" s="76" t="s">
        <v>131</v>
      </c>
      <c r="P175" s="77"/>
      <c r="Q175" s="96" t="s">
        <v>131</v>
      </c>
      <c r="R175" s="97" t="s">
        <v>131</v>
      </c>
      <c r="S175" s="98" t="s">
        <v>131</v>
      </c>
      <c r="T175" s="99" t="s">
        <v>131</v>
      </c>
    </row>
    <row r="176" s="10" customFormat="1" ht="14.4" spans="1:20">
      <c r="A176" s="46" t="str">
        <f t="shared" si="10"/>
        <v>FR003WM2A001E001</v>
      </c>
      <c r="B176" s="47" t="s">
        <v>70</v>
      </c>
      <c r="C176" s="285" t="s">
        <v>501</v>
      </c>
      <c r="D176" s="48" t="s">
        <v>170</v>
      </c>
      <c r="E176" s="48"/>
      <c r="F176" s="48" t="s">
        <v>131</v>
      </c>
      <c r="G176" s="48" t="s">
        <v>171</v>
      </c>
      <c r="H176" s="49" t="s">
        <v>172</v>
      </c>
      <c r="I176" s="48" t="s">
        <v>131</v>
      </c>
      <c r="J176" s="48" t="s">
        <v>131</v>
      </c>
      <c r="K176" s="48" t="s">
        <v>131</v>
      </c>
      <c r="L176" s="48" t="s">
        <v>131</v>
      </c>
      <c r="M176" s="47"/>
      <c r="N176" s="48" t="s">
        <v>131</v>
      </c>
      <c r="O176" s="76" t="s">
        <v>131</v>
      </c>
      <c r="P176" s="77"/>
      <c r="Q176" s="96" t="s">
        <v>131</v>
      </c>
      <c r="R176" s="97" t="s">
        <v>131</v>
      </c>
      <c r="S176" s="98" t="s">
        <v>131</v>
      </c>
      <c r="T176" s="99" t="s">
        <v>131</v>
      </c>
    </row>
    <row r="177" s="10" customFormat="1" ht="14.4" spans="1:20">
      <c r="A177" s="46" t="str">
        <f t="shared" si="10"/>
        <v>FR003WM2A001E001</v>
      </c>
      <c r="B177" s="47" t="s">
        <v>70</v>
      </c>
      <c r="C177" s="285" t="s">
        <v>502</v>
      </c>
      <c r="D177" s="48" t="s">
        <v>503</v>
      </c>
      <c r="E177" s="48"/>
      <c r="F177" s="48"/>
      <c r="G177" s="48" t="str">
        <f>"MTH-"&amp;'Check list'!$D$5&amp;"T1"</f>
        <v>MTH-EF041AT1</v>
      </c>
      <c r="H177" s="49" t="s">
        <v>235</v>
      </c>
      <c r="I177" s="48"/>
      <c r="J177" s="48"/>
      <c r="K177" s="48"/>
      <c r="L177" s="48" t="s">
        <v>504</v>
      </c>
      <c r="M177" s="47"/>
      <c r="N177" s="48"/>
      <c r="O177" s="76" t="s">
        <v>505</v>
      </c>
      <c r="P177" s="77">
        <v>200140</v>
      </c>
      <c r="Q177" s="96"/>
      <c r="R177" s="97"/>
      <c r="S177" s="98"/>
      <c r="T177" s="99"/>
    </row>
    <row r="178" s="10" customFormat="1" ht="14.4" spans="1:20">
      <c r="A178" s="46" t="str">
        <f t="shared" si="10"/>
        <v>FR003WM2A001E001</v>
      </c>
      <c r="B178" s="47" t="s">
        <v>70</v>
      </c>
      <c r="C178" s="285" t="s">
        <v>506</v>
      </c>
      <c r="D178" s="48" t="s">
        <v>212</v>
      </c>
      <c r="E178" s="48"/>
      <c r="F178" s="48" t="s">
        <v>131</v>
      </c>
      <c r="G178" s="48" t="s">
        <v>132</v>
      </c>
      <c r="H178" s="49" t="s">
        <v>186</v>
      </c>
      <c r="I178" s="48" t="s">
        <v>131</v>
      </c>
      <c r="J178" s="48" t="s">
        <v>131</v>
      </c>
      <c r="K178" s="48" t="s">
        <v>131</v>
      </c>
      <c r="L178" s="48" t="s">
        <v>131</v>
      </c>
      <c r="M178" s="47"/>
      <c r="N178" s="48" t="s">
        <v>131</v>
      </c>
      <c r="O178" s="76" t="s">
        <v>505</v>
      </c>
      <c r="P178" s="77">
        <v>200140</v>
      </c>
      <c r="Q178" s="96"/>
      <c r="R178" s="97"/>
      <c r="S178" s="98"/>
      <c r="T178" s="99"/>
    </row>
    <row r="179" s="10" customFormat="1" ht="14.4" spans="1:20">
      <c r="A179" s="46" t="str">
        <f t="shared" ref="A179:A194" si="11">$E$3</f>
        <v>FR003WM2A001E001</v>
      </c>
      <c r="B179" s="47" t="s">
        <v>70</v>
      </c>
      <c r="C179" s="285" t="s">
        <v>507</v>
      </c>
      <c r="D179" s="48" t="s">
        <v>214</v>
      </c>
      <c r="E179" s="48"/>
      <c r="F179" s="48" t="s">
        <v>131</v>
      </c>
      <c r="G179" s="48" t="s">
        <v>132</v>
      </c>
      <c r="H179" s="49" t="s">
        <v>215</v>
      </c>
      <c r="I179" s="48" t="s">
        <v>131</v>
      </c>
      <c r="J179" s="48" t="s">
        <v>131</v>
      </c>
      <c r="K179" s="48" t="s">
        <v>131</v>
      </c>
      <c r="L179" s="48" t="s">
        <v>131</v>
      </c>
      <c r="M179" s="47"/>
      <c r="N179" s="48" t="s">
        <v>131</v>
      </c>
      <c r="O179" s="76" t="s">
        <v>216</v>
      </c>
      <c r="P179" s="77">
        <v>200260</v>
      </c>
      <c r="Q179" s="96" t="s">
        <v>131</v>
      </c>
      <c r="R179" s="97" t="s">
        <v>131</v>
      </c>
      <c r="S179" s="98" t="s">
        <v>131</v>
      </c>
      <c r="T179" s="99" t="s">
        <v>131</v>
      </c>
    </row>
    <row r="180" s="11" customFormat="1" ht="14.4" spans="1:20">
      <c r="A180" s="50" t="str">
        <f t="shared" si="11"/>
        <v>FR003WM2A001E001</v>
      </c>
      <c r="B180" s="51" t="s">
        <v>72</v>
      </c>
      <c r="C180" s="288" t="s">
        <v>508</v>
      </c>
      <c r="D180" s="52" t="s">
        <v>170</v>
      </c>
      <c r="E180" s="52"/>
      <c r="F180" s="52"/>
      <c r="G180" s="52" t="s">
        <v>171</v>
      </c>
      <c r="H180" s="53" t="s">
        <v>172</v>
      </c>
      <c r="I180" s="52"/>
      <c r="J180" s="52"/>
      <c r="K180" s="52"/>
      <c r="L180" s="52"/>
      <c r="M180" s="51" t="s">
        <v>146</v>
      </c>
      <c r="N180" s="52" t="str">
        <f>"ETD_T20001_"&amp;'Check list'!E7</f>
        <v>ETD_T20001_FR003WM2A001E001</v>
      </c>
      <c r="O180" s="79" t="s">
        <v>131</v>
      </c>
      <c r="P180" s="80"/>
      <c r="Q180" s="100"/>
      <c r="R180" s="101"/>
      <c r="S180" s="102"/>
      <c r="T180" s="103"/>
    </row>
    <row r="181" s="11" customFormat="1" ht="14.4" spans="1:20">
      <c r="A181" s="50" t="str">
        <f t="shared" si="11"/>
        <v>FR003WM2A001E001</v>
      </c>
      <c r="B181" s="51" t="s">
        <v>72</v>
      </c>
      <c r="C181" s="288" t="s">
        <v>509</v>
      </c>
      <c r="D181" s="52" t="s">
        <v>510</v>
      </c>
      <c r="E181" s="52"/>
      <c r="F181" s="52"/>
      <c r="G181" s="52" t="str">
        <f>'Check list'!G25</f>
        <v>IP3000@EF041A-36</v>
      </c>
      <c r="H181" s="53" t="s">
        <v>175</v>
      </c>
      <c r="I181" s="52"/>
      <c r="J181" s="52" t="str">
        <f>'Check list'!$D$5&amp;"_36"</f>
        <v>EF041A_36</v>
      </c>
      <c r="K181" s="52"/>
      <c r="L181" s="52"/>
      <c r="M181" s="51" t="s">
        <v>146</v>
      </c>
      <c r="N181" s="52" t="str">
        <f>"ETD_T20002_"&amp;'Check list'!E7</f>
        <v>ETD_T20002_FR003WM2A001E001</v>
      </c>
      <c r="O181" s="79" t="s">
        <v>152</v>
      </c>
      <c r="P181" s="80">
        <v>220020</v>
      </c>
      <c r="Q181" s="100"/>
      <c r="R181" s="101"/>
      <c r="S181" s="102"/>
      <c r="T181" s="103"/>
    </row>
    <row r="182" s="11" customFormat="1" ht="14.4" spans="1:20">
      <c r="A182" s="50" t="str">
        <f t="shared" si="11"/>
        <v>FR003WM2A001E001</v>
      </c>
      <c r="B182" s="51" t="s">
        <v>72</v>
      </c>
      <c r="C182" s="288" t="s">
        <v>511</v>
      </c>
      <c r="D182" s="52" t="s">
        <v>512</v>
      </c>
      <c r="E182" s="52"/>
      <c r="F182" s="52"/>
      <c r="G182" s="52" t="str">
        <f>'Check list'!$D$5&amp;"/"&amp;'Check list'!$D$5&amp;"_T2_PH_B"</f>
        <v>EF041A/EF041A_T2_PH_B</v>
      </c>
      <c r="H182" s="53" t="s">
        <v>178</v>
      </c>
      <c r="I182" s="52"/>
      <c r="J182" s="52"/>
      <c r="K182" s="52"/>
      <c r="L182" s="52" t="s">
        <v>513</v>
      </c>
      <c r="M182" s="51"/>
      <c r="N182" s="52"/>
      <c r="O182" s="79" t="s">
        <v>243</v>
      </c>
      <c r="P182" s="80">
        <v>220020</v>
      </c>
      <c r="Q182" s="100"/>
      <c r="R182" s="101"/>
      <c r="S182" s="102"/>
      <c r="T182" s="103"/>
    </row>
    <row r="183" s="11" customFormat="1" ht="14.4" spans="1:20">
      <c r="A183" s="50" t="str">
        <f t="shared" si="11"/>
        <v>FR003WM2A001E001</v>
      </c>
      <c r="B183" s="51" t="s">
        <v>72</v>
      </c>
      <c r="C183" s="288" t="s">
        <v>514</v>
      </c>
      <c r="D183" s="52" t="s">
        <v>248</v>
      </c>
      <c r="E183" s="52"/>
      <c r="F183" s="52"/>
      <c r="G183" s="52" t="str">
        <f>"OVL"&amp;'Check list'!$D$5&amp;"-36"</f>
        <v>OVLEF041A-36</v>
      </c>
      <c r="H183" s="53" t="s">
        <v>249</v>
      </c>
      <c r="I183" s="52"/>
      <c r="J183" s="52"/>
      <c r="K183" s="52"/>
      <c r="L183" s="52" t="s">
        <v>515</v>
      </c>
      <c r="M183" s="51"/>
      <c r="N183" s="52"/>
      <c r="O183" s="79" t="s">
        <v>243</v>
      </c>
      <c r="P183" s="80">
        <v>220020</v>
      </c>
      <c r="Q183" s="100"/>
      <c r="R183" s="101"/>
      <c r="S183" s="102"/>
      <c r="T183" s="103"/>
    </row>
    <row r="184" s="11" customFormat="1" ht="14.4" spans="1:20">
      <c r="A184" s="50" t="str">
        <f t="shared" si="11"/>
        <v>FR003WM2A001E001</v>
      </c>
      <c r="B184" s="51" t="s">
        <v>72</v>
      </c>
      <c r="C184" s="288" t="s">
        <v>516</v>
      </c>
      <c r="D184" s="52" t="s">
        <v>185</v>
      </c>
      <c r="E184" s="52"/>
      <c r="F184" s="52"/>
      <c r="G184" s="52" t="s">
        <v>132</v>
      </c>
      <c r="H184" s="53" t="s">
        <v>186</v>
      </c>
      <c r="I184" s="52"/>
      <c r="J184" s="52"/>
      <c r="K184" s="52"/>
      <c r="L184" s="52" t="s">
        <v>131</v>
      </c>
      <c r="M184" s="51"/>
      <c r="N184" s="52"/>
      <c r="O184" s="79" t="s">
        <v>243</v>
      </c>
      <c r="P184" s="80">
        <v>220020</v>
      </c>
      <c r="Q184" s="100"/>
      <c r="R184" s="101"/>
      <c r="S184" s="102"/>
      <c r="T184" s="103"/>
    </row>
    <row r="185" s="11" customFormat="1" ht="14.4" spans="1:20">
      <c r="A185" s="50" t="str">
        <f t="shared" si="11"/>
        <v>FR003WM2A001E001</v>
      </c>
      <c r="B185" s="51" t="s">
        <v>72</v>
      </c>
      <c r="C185" s="288" t="s">
        <v>517</v>
      </c>
      <c r="D185" s="52" t="s">
        <v>518</v>
      </c>
      <c r="E185" s="52" t="str">
        <f>"T2 Trim removal Mo "&amp;'Check list'!D25&amp;"nm"</f>
        <v>T2 Trim removal Mo 015nm</v>
      </c>
      <c r="F185" s="52"/>
      <c r="G185" s="52" t="str">
        <f>'Check list'!I25</f>
        <v>TRM-MO280N-A</v>
      </c>
      <c r="H185" s="53" t="s">
        <v>414</v>
      </c>
      <c r="I185" s="52"/>
      <c r="J185" s="52"/>
      <c r="K185" s="52"/>
      <c r="L185" s="52" t="s">
        <v>131</v>
      </c>
      <c r="M185" s="51" t="s">
        <v>189</v>
      </c>
      <c r="N185" s="52" t="str">
        <f>"ETD_T20003_"&amp;'Check list'!E7</f>
        <v>ETD_T20003_FR003WM2A001E001</v>
      </c>
      <c r="O185" s="79"/>
      <c r="P185" s="80"/>
      <c r="Q185" s="100"/>
      <c r="R185" s="101"/>
      <c r="S185" s="102"/>
      <c r="T185" s="103"/>
    </row>
    <row r="186" s="11" customFormat="1" ht="14.4" spans="1:20">
      <c r="A186" s="50" t="str">
        <f t="shared" si="11"/>
        <v>FR003WM2A001E001</v>
      </c>
      <c r="B186" s="51" t="s">
        <v>72</v>
      </c>
      <c r="C186" s="288" t="s">
        <v>519</v>
      </c>
      <c r="D186" s="52" t="s">
        <v>196</v>
      </c>
      <c r="E186" s="52"/>
      <c r="F186" s="52"/>
      <c r="G186" s="52" t="s">
        <v>197</v>
      </c>
      <c r="H186" s="53" t="s">
        <v>198</v>
      </c>
      <c r="I186" s="52"/>
      <c r="J186" s="52"/>
      <c r="K186" s="52"/>
      <c r="L186" s="52" t="s">
        <v>131</v>
      </c>
      <c r="M186" s="51" t="s">
        <v>189</v>
      </c>
      <c r="N186" s="52" t="str">
        <f>"ETD_T20004_"&amp;'Check list'!E7</f>
        <v>ETD_T20004_FR003WM2A001E001</v>
      </c>
      <c r="O186" s="79" t="s">
        <v>131</v>
      </c>
      <c r="P186" s="80"/>
      <c r="Q186" s="100"/>
      <c r="R186" s="101"/>
      <c r="S186" s="102"/>
      <c r="T186" s="103"/>
    </row>
    <row r="187" s="11" customFormat="1" ht="14.4" spans="1:20">
      <c r="A187" s="50" t="str">
        <f t="shared" si="11"/>
        <v>FR003WM2A001E001</v>
      </c>
      <c r="B187" s="51" t="s">
        <v>72</v>
      </c>
      <c r="C187" s="288" t="s">
        <v>520</v>
      </c>
      <c r="D187" s="52" t="s">
        <v>191</v>
      </c>
      <c r="E187" s="52"/>
      <c r="F187" s="52"/>
      <c r="G187" s="52" t="s">
        <v>258</v>
      </c>
      <c r="H187" s="53" t="s">
        <v>193</v>
      </c>
      <c r="I187" s="52"/>
      <c r="J187" s="52"/>
      <c r="K187" s="52"/>
      <c r="L187" s="52" t="s">
        <v>131</v>
      </c>
      <c r="M187" s="51" t="s">
        <v>189</v>
      </c>
      <c r="N187" s="52" t="str">
        <f>"ETD_T20005_"&amp;'Check list'!E7</f>
        <v>ETD_T20005_FR003WM2A001E001</v>
      </c>
      <c r="O187" s="79" t="s">
        <v>131</v>
      </c>
      <c r="P187" s="80"/>
      <c r="Q187" s="100"/>
      <c r="R187" s="101"/>
      <c r="S187" s="102"/>
      <c r="T187" s="103"/>
    </row>
    <row r="188" s="11" customFormat="1" ht="14.4" spans="1:20">
      <c r="A188" s="50" t="str">
        <f t="shared" si="11"/>
        <v>FR003WM2A001E001</v>
      </c>
      <c r="B188" s="51" t="s">
        <v>72</v>
      </c>
      <c r="C188" s="288" t="s">
        <v>521</v>
      </c>
      <c r="D188" s="52" t="s">
        <v>170</v>
      </c>
      <c r="E188" s="52"/>
      <c r="F188" s="52"/>
      <c r="G188" s="52" t="s">
        <v>171</v>
      </c>
      <c r="H188" s="53" t="s">
        <v>172</v>
      </c>
      <c r="I188" s="52"/>
      <c r="J188" s="52"/>
      <c r="K188" s="52"/>
      <c r="L188" s="52" t="s">
        <v>131</v>
      </c>
      <c r="M188" s="51"/>
      <c r="N188" s="52"/>
      <c r="O188" s="79" t="s">
        <v>131</v>
      </c>
      <c r="P188" s="80"/>
      <c r="Q188" s="100"/>
      <c r="R188" s="101"/>
      <c r="S188" s="102"/>
      <c r="T188" s="103"/>
    </row>
    <row r="189" s="11" customFormat="1" ht="14.4" spans="1:20">
      <c r="A189" s="50" t="str">
        <f t="shared" si="11"/>
        <v>FR003WM2A001E001</v>
      </c>
      <c r="B189" s="51" t="s">
        <v>72</v>
      </c>
      <c r="C189" s="288" t="s">
        <v>522</v>
      </c>
      <c r="D189" s="52" t="s">
        <v>523</v>
      </c>
      <c r="E189" s="52"/>
      <c r="F189" s="52"/>
      <c r="G189" s="52" t="str">
        <f>"MTH-"&amp;'Check list'!$D$5&amp;"T2"</f>
        <v>MTH-EF041AT2</v>
      </c>
      <c r="H189" s="53" t="s">
        <v>235</v>
      </c>
      <c r="I189" s="52"/>
      <c r="J189" s="52"/>
      <c r="K189" s="52"/>
      <c r="L189" s="52" t="s">
        <v>524</v>
      </c>
      <c r="M189" s="51"/>
      <c r="N189" s="52"/>
      <c r="O189" s="79" t="s">
        <v>525</v>
      </c>
      <c r="P189" s="80">
        <v>220140</v>
      </c>
      <c r="Q189" s="100"/>
      <c r="R189" s="101"/>
      <c r="S189" s="102"/>
      <c r="T189" s="103"/>
    </row>
    <row r="190" s="11" customFormat="1" ht="14.4" spans="1:20">
      <c r="A190" s="50" t="str">
        <f t="shared" si="11"/>
        <v>FR003WM2A001E001</v>
      </c>
      <c r="B190" s="51" t="s">
        <v>72</v>
      </c>
      <c r="C190" s="288" t="s">
        <v>526</v>
      </c>
      <c r="D190" s="52" t="s">
        <v>212</v>
      </c>
      <c r="E190" s="52"/>
      <c r="F190" s="52"/>
      <c r="G190" s="52" t="s">
        <v>132</v>
      </c>
      <c r="H190" s="53" t="s">
        <v>186</v>
      </c>
      <c r="I190" s="52"/>
      <c r="J190" s="52"/>
      <c r="K190" s="52"/>
      <c r="L190" s="52"/>
      <c r="M190" s="51"/>
      <c r="N190" s="52"/>
      <c r="O190" s="79" t="s">
        <v>525</v>
      </c>
      <c r="P190" s="80">
        <v>220140</v>
      </c>
      <c r="Q190" s="100"/>
      <c r="R190" s="101"/>
      <c r="S190" s="102"/>
      <c r="T190" s="103"/>
    </row>
    <row r="191" s="11" customFormat="1" ht="14.4" spans="1:20">
      <c r="A191" s="50" t="str">
        <f t="shared" si="11"/>
        <v>FR003WM2A001E001</v>
      </c>
      <c r="B191" s="51" t="s">
        <v>72</v>
      </c>
      <c r="C191" s="288" t="s">
        <v>527</v>
      </c>
      <c r="D191" s="52" t="s">
        <v>214</v>
      </c>
      <c r="E191" s="52"/>
      <c r="F191" s="52"/>
      <c r="G191" s="52" t="s">
        <v>132</v>
      </c>
      <c r="H191" s="53" t="s">
        <v>215</v>
      </c>
      <c r="I191" s="52"/>
      <c r="J191" s="52"/>
      <c r="K191" s="52"/>
      <c r="L191" s="52"/>
      <c r="M191" s="51"/>
      <c r="N191" s="52"/>
      <c r="O191" s="79" t="s">
        <v>216</v>
      </c>
      <c r="P191" s="80">
        <v>220240</v>
      </c>
      <c r="Q191" s="100"/>
      <c r="R191" s="101"/>
      <c r="S191" s="102"/>
      <c r="T191" s="103"/>
    </row>
    <row r="192" s="12" customFormat="1" ht="14.4" spans="1:20">
      <c r="A192" s="128" t="str">
        <f t="shared" si="11"/>
        <v>FR003WM2A001E001</v>
      </c>
      <c r="B192" s="129" t="s">
        <v>74</v>
      </c>
      <c r="C192" s="294" t="s">
        <v>528</v>
      </c>
      <c r="D192" s="130" t="s">
        <v>170</v>
      </c>
      <c r="E192" s="130"/>
      <c r="F192" s="130"/>
      <c r="G192" s="130" t="s">
        <v>171</v>
      </c>
      <c r="H192" s="131" t="s">
        <v>172</v>
      </c>
      <c r="I192" s="130"/>
      <c r="J192" s="130"/>
      <c r="K192" s="130"/>
      <c r="L192" s="130"/>
      <c r="M192" s="129" t="s">
        <v>146</v>
      </c>
      <c r="N192" s="130" t="str">
        <f>"ETD_T30001_"&amp;'Check list'!E7</f>
        <v>ETD_T30001_FR003WM2A001E001</v>
      </c>
      <c r="O192" s="132" t="s">
        <v>131</v>
      </c>
      <c r="P192" s="133"/>
      <c r="Q192" s="134"/>
      <c r="R192" s="135"/>
      <c r="S192" s="136"/>
      <c r="T192" s="137"/>
    </row>
    <row r="193" s="12" customFormat="1" ht="14.4" spans="1:20">
      <c r="A193" s="128" t="str">
        <f t="shared" si="11"/>
        <v>FR003WM2A001E001</v>
      </c>
      <c r="B193" s="129" t="s">
        <v>74</v>
      </c>
      <c r="C193" s="294" t="s">
        <v>529</v>
      </c>
      <c r="D193" s="130" t="s">
        <v>530</v>
      </c>
      <c r="E193" s="130"/>
      <c r="F193" s="130"/>
      <c r="G193" s="130" t="str">
        <f>'Check list'!G26</f>
        <v>IP3000@EF041A-135</v>
      </c>
      <c r="H193" s="131" t="s">
        <v>175</v>
      </c>
      <c r="I193" s="130"/>
      <c r="J193" s="130" t="str">
        <f>'Check list'!$D$5&amp;"_135"</f>
        <v>EF041A_135</v>
      </c>
      <c r="K193" s="130"/>
      <c r="L193" s="130"/>
      <c r="M193" s="129" t="s">
        <v>146</v>
      </c>
      <c r="N193" s="130" t="str">
        <f>"ETD_T30002_"&amp;'Check list'!E7</f>
        <v>ETD_T30002_FR003WM2A001E001</v>
      </c>
      <c r="O193" s="132" t="s">
        <v>152</v>
      </c>
      <c r="P193" s="133">
        <v>240020</v>
      </c>
      <c r="Q193" s="134"/>
      <c r="R193" s="135"/>
      <c r="S193" s="136"/>
      <c r="T193" s="137"/>
    </row>
    <row r="194" s="12" customFormat="1" ht="14.4" spans="1:20">
      <c r="A194" s="128" t="str">
        <f t="shared" si="11"/>
        <v>FR003WM2A001E001</v>
      </c>
      <c r="B194" s="129" t="s">
        <v>74</v>
      </c>
      <c r="C194" s="294" t="s">
        <v>531</v>
      </c>
      <c r="D194" s="130" t="s">
        <v>532</v>
      </c>
      <c r="E194" s="130"/>
      <c r="F194" s="130"/>
      <c r="G194" s="130" t="str">
        <f>'Check list'!$D$5&amp;"/"&amp;'Check list'!$D$5&amp;"_T3_PH_B"</f>
        <v>EF041A/EF041A_T3_PH_B</v>
      </c>
      <c r="H194" s="131" t="s">
        <v>178</v>
      </c>
      <c r="I194" s="130"/>
      <c r="J194" s="130"/>
      <c r="K194" s="130"/>
      <c r="L194" s="130" t="s">
        <v>533</v>
      </c>
      <c r="M194" s="129"/>
      <c r="N194" s="130"/>
      <c r="O194" s="132" t="s">
        <v>243</v>
      </c>
      <c r="P194" s="133">
        <v>240020</v>
      </c>
      <c r="Q194" s="134"/>
      <c r="R194" s="135"/>
      <c r="S194" s="136"/>
      <c r="T194" s="137"/>
    </row>
    <row r="195" s="12" customFormat="1" ht="14.4" spans="1:20">
      <c r="A195" s="128" t="str">
        <f t="shared" ref="A195:A205" si="12">$E$3</f>
        <v>FR003WM2A001E001</v>
      </c>
      <c r="B195" s="129" t="s">
        <v>74</v>
      </c>
      <c r="C195" s="294" t="s">
        <v>534</v>
      </c>
      <c r="D195" s="130" t="s">
        <v>248</v>
      </c>
      <c r="E195" s="130"/>
      <c r="F195" s="130"/>
      <c r="G195" s="130" t="str">
        <f>"OVL"&amp;'Check list'!$D$5&amp;"-37"</f>
        <v>OVLEF041A-37</v>
      </c>
      <c r="H195" s="131" t="s">
        <v>249</v>
      </c>
      <c r="I195" s="130"/>
      <c r="J195" s="130"/>
      <c r="K195" s="130"/>
      <c r="L195" s="130" t="s">
        <v>535</v>
      </c>
      <c r="M195" s="129"/>
      <c r="N195" s="130"/>
      <c r="O195" s="132" t="s">
        <v>243</v>
      </c>
      <c r="P195" s="133">
        <v>240020</v>
      </c>
      <c r="Q195" s="134"/>
      <c r="R195" s="135"/>
      <c r="S195" s="136"/>
      <c r="T195" s="137"/>
    </row>
    <row r="196" s="12" customFormat="1" ht="14.4" spans="1:20">
      <c r="A196" s="128" t="str">
        <f t="shared" si="12"/>
        <v>FR003WM2A001E001</v>
      </c>
      <c r="B196" s="129" t="s">
        <v>74</v>
      </c>
      <c r="C196" s="294" t="s">
        <v>536</v>
      </c>
      <c r="D196" s="130" t="s">
        <v>185</v>
      </c>
      <c r="E196" s="130"/>
      <c r="F196" s="130"/>
      <c r="G196" s="130" t="s">
        <v>132</v>
      </c>
      <c r="H196" s="131" t="s">
        <v>186</v>
      </c>
      <c r="I196" s="130"/>
      <c r="J196" s="130"/>
      <c r="K196" s="130"/>
      <c r="L196" s="130" t="s">
        <v>131</v>
      </c>
      <c r="M196" s="129"/>
      <c r="N196" s="130"/>
      <c r="O196" s="132" t="s">
        <v>243</v>
      </c>
      <c r="P196" s="133">
        <v>240020</v>
      </c>
      <c r="Q196" s="134"/>
      <c r="R196" s="135"/>
      <c r="S196" s="136"/>
      <c r="T196" s="137"/>
    </row>
    <row r="197" s="12" customFormat="1" ht="14.4" spans="1:20">
      <c r="A197" s="128" t="str">
        <f t="shared" si="12"/>
        <v>FR003WM2A001E001</v>
      </c>
      <c r="B197" s="129" t="s">
        <v>74</v>
      </c>
      <c r="C197" s="294" t="s">
        <v>537</v>
      </c>
      <c r="D197" s="130" t="s">
        <v>538</v>
      </c>
      <c r="E197" s="130" t="str">
        <f>"T3 Trim removal Mo "&amp;'Check list'!D26&amp;"nm"</f>
        <v>T3 Trim removal Mo 010nm</v>
      </c>
      <c r="F197" s="130"/>
      <c r="G197" s="130" t="str">
        <f>'Check list'!I26</f>
        <v>TRM-MO280N-A</v>
      </c>
      <c r="H197" s="131" t="s">
        <v>414</v>
      </c>
      <c r="I197" s="130"/>
      <c r="J197" s="130"/>
      <c r="K197" s="130"/>
      <c r="L197" s="130" t="s">
        <v>131</v>
      </c>
      <c r="M197" s="129" t="s">
        <v>189</v>
      </c>
      <c r="N197" s="130" t="str">
        <f>"ETD_T30003_"&amp;'Check list'!E7</f>
        <v>ETD_T30003_FR003WM2A001E001</v>
      </c>
      <c r="O197" s="132"/>
      <c r="P197" s="133"/>
      <c r="Q197" s="134"/>
      <c r="R197" s="135"/>
      <c r="S197" s="136"/>
      <c r="T197" s="137"/>
    </row>
    <row r="198" s="12" customFormat="1" ht="14.4" spans="1:20">
      <c r="A198" s="128" t="str">
        <f t="shared" si="12"/>
        <v>FR003WM2A001E001</v>
      </c>
      <c r="B198" s="129" t="s">
        <v>74</v>
      </c>
      <c r="C198" s="294" t="s">
        <v>539</v>
      </c>
      <c r="D198" s="130" t="s">
        <v>196</v>
      </c>
      <c r="E198" s="130"/>
      <c r="F198" s="130"/>
      <c r="G198" s="130" t="s">
        <v>197</v>
      </c>
      <c r="H198" s="131" t="s">
        <v>198</v>
      </c>
      <c r="I198" s="130"/>
      <c r="J198" s="130"/>
      <c r="K198" s="130"/>
      <c r="L198" s="130" t="s">
        <v>131</v>
      </c>
      <c r="M198" s="129" t="s">
        <v>189</v>
      </c>
      <c r="N198" s="130" t="str">
        <f>"ETD_T30004_"&amp;'Check list'!E7</f>
        <v>ETD_T30004_FR003WM2A001E001</v>
      </c>
      <c r="O198" s="132" t="s">
        <v>131</v>
      </c>
      <c r="P198" s="133"/>
      <c r="Q198" s="134"/>
      <c r="R198" s="135"/>
      <c r="S198" s="136"/>
      <c r="T198" s="137"/>
    </row>
    <row r="199" s="12" customFormat="1" ht="14.4" spans="1:20">
      <c r="A199" s="128" t="str">
        <f t="shared" si="12"/>
        <v>FR003WM2A001E001</v>
      </c>
      <c r="B199" s="129" t="s">
        <v>74</v>
      </c>
      <c r="C199" s="294" t="s">
        <v>540</v>
      </c>
      <c r="D199" s="130" t="s">
        <v>191</v>
      </c>
      <c r="E199" s="130"/>
      <c r="F199" s="130"/>
      <c r="G199" s="130" t="s">
        <v>258</v>
      </c>
      <c r="H199" s="131" t="s">
        <v>193</v>
      </c>
      <c r="I199" s="130"/>
      <c r="J199" s="130"/>
      <c r="K199" s="130"/>
      <c r="L199" s="130" t="s">
        <v>131</v>
      </c>
      <c r="M199" s="129" t="s">
        <v>189</v>
      </c>
      <c r="N199" s="130" t="str">
        <f>"ETD_T30005_"&amp;'Check list'!E7</f>
        <v>ETD_T30005_FR003WM2A001E001</v>
      </c>
      <c r="O199" s="132" t="s">
        <v>131</v>
      </c>
      <c r="P199" s="133"/>
      <c r="Q199" s="134"/>
      <c r="R199" s="135"/>
      <c r="S199" s="136"/>
      <c r="T199" s="137"/>
    </row>
    <row r="200" s="12" customFormat="1" ht="14.4" spans="1:20">
      <c r="A200" s="128" t="str">
        <f t="shared" si="12"/>
        <v>FR003WM2A001E001</v>
      </c>
      <c r="B200" s="129" t="s">
        <v>74</v>
      </c>
      <c r="C200" s="294" t="s">
        <v>541</v>
      </c>
      <c r="D200" s="130" t="s">
        <v>170</v>
      </c>
      <c r="E200" s="130"/>
      <c r="F200" s="130"/>
      <c r="G200" s="130" t="s">
        <v>171</v>
      </c>
      <c r="H200" s="131" t="s">
        <v>172</v>
      </c>
      <c r="I200" s="130"/>
      <c r="J200" s="130"/>
      <c r="K200" s="130"/>
      <c r="L200" s="130" t="s">
        <v>131</v>
      </c>
      <c r="M200" s="129"/>
      <c r="N200" s="130"/>
      <c r="O200" s="132" t="s">
        <v>131</v>
      </c>
      <c r="P200" s="133"/>
      <c r="Q200" s="134"/>
      <c r="R200" s="135"/>
      <c r="S200" s="136"/>
      <c r="T200" s="137"/>
    </row>
    <row r="201" s="12" customFormat="1" ht="14.4" spans="1:20">
      <c r="A201" s="128" t="str">
        <f t="shared" si="12"/>
        <v>FR003WM2A001E001</v>
      </c>
      <c r="B201" s="129" t="s">
        <v>74</v>
      </c>
      <c r="C201" s="294" t="s">
        <v>542</v>
      </c>
      <c r="D201" s="130" t="s">
        <v>543</v>
      </c>
      <c r="E201" s="130"/>
      <c r="F201" s="130"/>
      <c r="G201" s="130" t="str">
        <f>"MTH-"&amp;'Check list'!$D$5&amp;"T3"</f>
        <v>MTH-EF041AT3</v>
      </c>
      <c r="H201" s="131" t="s">
        <v>235</v>
      </c>
      <c r="I201" s="130"/>
      <c r="J201" s="130"/>
      <c r="K201" s="130"/>
      <c r="L201" s="130" t="s">
        <v>544</v>
      </c>
      <c r="M201" s="129"/>
      <c r="N201" s="130"/>
      <c r="O201" s="132" t="s">
        <v>545</v>
      </c>
      <c r="P201" s="133">
        <v>240140</v>
      </c>
      <c r="Q201" s="134"/>
      <c r="R201" s="135"/>
      <c r="S201" s="136"/>
      <c r="T201" s="137"/>
    </row>
    <row r="202" s="12" customFormat="1" ht="14.4" spans="1:20">
      <c r="A202" s="128" t="str">
        <f t="shared" si="12"/>
        <v>FR003WM2A001E001</v>
      </c>
      <c r="B202" s="129" t="s">
        <v>74</v>
      </c>
      <c r="C202" s="294" t="s">
        <v>546</v>
      </c>
      <c r="D202" s="130" t="s">
        <v>212</v>
      </c>
      <c r="E202" s="130"/>
      <c r="F202" s="130"/>
      <c r="G202" s="130" t="s">
        <v>132</v>
      </c>
      <c r="H202" s="131" t="s">
        <v>186</v>
      </c>
      <c r="I202" s="130"/>
      <c r="J202" s="130"/>
      <c r="K202" s="130"/>
      <c r="L202" s="130"/>
      <c r="M202" s="129"/>
      <c r="N202" s="130"/>
      <c r="O202" s="132" t="s">
        <v>545</v>
      </c>
      <c r="P202" s="133">
        <v>240140</v>
      </c>
      <c r="Q202" s="134"/>
      <c r="R202" s="135"/>
      <c r="S202" s="136"/>
      <c r="T202" s="137"/>
    </row>
    <row r="203" s="12" customFormat="1" ht="14.4" spans="1:20">
      <c r="A203" s="128" t="str">
        <f t="shared" si="12"/>
        <v>FR003WM2A001E001</v>
      </c>
      <c r="B203" s="129" t="s">
        <v>74</v>
      </c>
      <c r="C203" s="294" t="s">
        <v>547</v>
      </c>
      <c r="D203" s="130" t="s">
        <v>214</v>
      </c>
      <c r="E203" s="130"/>
      <c r="F203" s="130"/>
      <c r="G203" s="130" t="s">
        <v>132</v>
      </c>
      <c r="H203" s="131" t="s">
        <v>215</v>
      </c>
      <c r="I203" s="130"/>
      <c r="J203" s="130"/>
      <c r="K203" s="130"/>
      <c r="L203" s="130"/>
      <c r="M203" s="129"/>
      <c r="N203" s="130"/>
      <c r="O203" s="132" t="s">
        <v>216</v>
      </c>
      <c r="P203" s="133">
        <v>240260</v>
      </c>
      <c r="Q203" s="134"/>
      <c r="R203" s="135"/>
      <c r="S203" s="136"/>
      <c r="T203" s="137"/>
    </row>
    <row r="204" s="9" customFormat="1" ht="14.4" spans="1:20">
      <c r="A204" s="42" t="str">
        <f t="shared" si="12"/>
        <v>FR003WM2A001E001</v>
      </c>
      <c r="B204" s="43" t="s">
        <v>75</v>
      </c>
      <c r="C204" s="282" t="s">
        <v>548</v>
      </c>
      <c r="D204" s="44" t="s">
        <v>170</v>
      </c>
      <c r="E204" s="44"/>
      <c r="F204" s="44"/>
      <c r="G204" s="44" t="s">
        <v>171</v>
      </c>
      <c r="H204" s="45" t="s">
        <v>172</v>
      </c>
      <c r="I204" s="44"/>
      <c r="J204" s="44"/>
      <c r="K204" s="44"/>
      <c r="L204" s="44"/>
      <c r="M204" s="43" t="s">
        <v>146</v>
      </c>
      <c r="N204" s="44" t="str">
        <f>"ETD_T40001_"&amp;'Check list'!E7</f>
        <v>ETD_T40001_FR003WM2A001E001</v>
      </c>
      <c r="O204" s="71" t="s">
        <v>131</v>
      </c>
      <c r="P204" s="72"/>
      <c r="Q204" s="92"/>
      <c r="R204" s="93"/>
      <c r="S204" s="94"/>
      <c r="T204" s="95"/>
    </row>
    <row r="205" s="9" customFormat="1" ht="14.4" spans="1:20">
      <c r="A205" s="42" t="str">
        <f t="shared" ref="A205:A215" si="13">$E$3</f>
        <v>FR003WM2A001E001</v>
      </c>
      <c r="B205" s="43" t="s">
        <v>75</v>
      </c>
      <c r="C205" s="282" t="s">
        <v>549</v>
      </c>
      <c r="D205" s="44" t="s">
        <v>550</v>
      </c>
      <c r="E205" s="44"/>
      <c r="F205" s="44"/>
      <c r="G205" s="44" t="str">
        <f>'Check list'!G27</f>
        <v>IP3000@EF041A-136</v>
      </c>
      <c r="H205" s="45" t="s">
        <v>175</v>
      </c>
      <c r="I205" s="44"/>
      <c r="J205" s="44" t="str">
        <f>'Check list'!$D$5&amp;"_136"</f>
        <v>EF041A_136</v>
      </c>
      <c r="K205" s="44"/>
      <c r="L205" s="44"/>
      <c r="M205" s="43" t="s">
        <v>146</v>
      </c>
      <c r="N205" s="44" t="str">
        <f>"ETD_T40002_"&amp;'Check list'!E7</f>
        <v>ETD_T40002_FR003WM2A001E001</v>
      </c>
      <c r="O205" s="71" t="s">
        <v>152</v>
      </c>
      <c r="P205" s="72">
        <v>260020</v>
      </c>
      <c r="Q205" s="92"/>
      <c r="R205" s="93"/>
      <c r="S205" s="94"/>
      <c r="T205" s="95"/>
    </row>
    <row r="206" s="9" customFormat="1" ht="14.4" spans="1:20">
      <c r="A206" s="42" t="str">
        <f t="shared" si="13"/>
        <v>FR003WM2A001E001</v>
      </c>
      <c r="B206" s="43" t="s">
        <v>75</v>
      </c>
      <c r="C206" s="282" t="s">
        <v>551</v>
      </c>
      <c r="D206" s="44" t="s">
        <v>552</v>
      </c>
      <c r="E206" s="44"/>
      <c r="F206" s="44"/>
      <c r="G206" s="44" t="str">
        <f>'Check list'!$D$5&amp;"/"&amp;'Check list'!$D$5&amp;"_T4_PH_B"</f>
        <v>EF041A/EF041A_T4_PH_B</v>
      </c>
      <c r="H206" s="45" t="s">
        <v>178</v>
      </c>
      <c r="I206" s="44"/>
      <c r="J206" s="44"/>
      <c r="K206" s="44"/>
      <c r="L206" s="44" t="s">
        <v>553</v>
      </c>
      <c r="M206" s="43"/>
      <c r="N206" s="44"/>
      <c r="O206" s="71" t="s">
        <v>243</v>
      </c>
      <c r="P206" s="72">
        <v>260020</v>
      </c>
      <c r="Q206" s="92"/>
      <c r="R206" s="93"/>
      <c r="S206" s="94"/>
      <c r="T206" s="95"/>
    </row>
    <row r="207" s="9" customFormat="1" ht="14.4" spans="1:20">
      <c r="A207" s="42" t="str">
        <f t="shared" si="13"/>
        <v>FR003WM2A001E001</v>
      </c>
      <c r="B207" s="43" t="s">
        <v>75</v>
      </c>
      <c r="C207" s="282" t="s">
        <v>554</v>
      </c>
      <c r="D207" s="44" t="s">
        <v>248</v>
      </c>
      <c r="E207" s="44"/>
      <c r="F207" s="44"/>
      <c r="G207" s="44" t="str">
        <f>"OVL"&amp;'Check list'!$D$5&amp;"-38"</f>
        <v>OVLEF041A-38</v>
      </c>
      <c r="H207" s="45" t="s">
        <v>249</v>
      </c>
      <c r="I207" s="44"/>
      <c r="J207" s="44"/>
      <c r="K207" s="44"/>
      <c r="L207" s="44" t="s">
        <v>555</v>
      </c>
      <c r="M207" s="43"/>
      <c r="N207" s="44"/>
      <c r="O207" s="71" t="s">
        <v>243</v>
      </c>
      <c r="P207" s="72">
        <v>260020</v>
      </c>
      <c r="Q207" s="92"/>
      <c r="R207" s="93"/>
      <c r="S207" s="94"/>
      <c r="T207" s="95"/>
    </row>
    <row r="208" s="9" customFormat="1" ht="14.4" spans="1:20">
      <c r="A208" s="42" t="str">
        <f t="shared" si="13"/>
        <v>FR003WM2A001E001</v>
      </c>
      <c r="B208" s="43" t="s">
        <v>75</v>
      </c>
      <c r="C208" s="282" t="s">
        <v>556</v>
      </c>
      <c r="D208" s="44" t="s">
        <v>185</v>
      </c>
      <c r="E208" s="44"/>
      <c r="F208" s="44"/>
      <c r="G208" s="44" t="s">
        <v>132</v>
      </c>
      <c r="H208" s="45" t="s">
        <v>186</v>
      </c>
      <c r="I208" s="44"/>
      <c r="J208" s="44"/>
      <c r="K208" s="44"/>
      <c r="L208" s="44" t="s">
        <v>131</v>
      </c>
      <c r="M208" s="43"/>
      <c r="N208" s="44"/>
      <c r="O208" s="71" t="s">
        <v>243</v>
      </c>
      <c r="P208" s="72">
        <v>260020</v>
      </c>
      <c r="Q208" s="92"/>
      <c r="R208" s="93"/>
      <c r="S208" s="94"/>
      <c r="T208" s="95"/>
    </row>
    <row r="209" s="9" customFormat="1" ht="14.4" spans="1:20">
      <c r="A209" s="42" t="str">
        <f t="shared" si="13"/>
        <v>FR003WM2A001E001</v>
      </c>
      <c r="B209" s="43" t="s">
        <v>75</v>
      </c>
      <c r="C209" s="282" t="s">
        <v>557</v>
      </c>
      <c r="D209" s="44" t="s">
        <v>558</v>
      </c>
      <c r="E209" s="44" t="str">
        <f>"T4 Trim removal Mo "&amp;'Check list'!D27&amp;"nm"</f>
        <v>T4 Trim removal Mo 010nm</v>
      </c>
      <c r="F209" s="44"/>
      <c r="G209" s="44" t="str">
        <f>'Check list'!I27</f>
        <v>TRM-MO280N-A</v>
      </c>
      <c r="H209" s="45" t="s">
        <v>414</v>
      </c>
      <c r="I209" s="44"/>
      <c r="J209" s="44"/>
      <c r="K209" s="44"/>
      <c r="L209" s="44" t="s">
        <v>131</v>
      </c>
      <c r="M209" s="43" t="s">
        <v>189</v>
      </c>
      <c r="N209" s="44" t="str">
        <f>"ETD_T40003_"&amp;'Check list'!E7</f>
        <v>ETD_T40003_FR003WM2A001E001</v>
      </c>
      <c r="O209" s="71"/>
      <c r="P209" s="72"/>
      <c r="Q209" s="92"/>
      <c r="R209" s="93"/>
      <c r="S209" s="94"/>
      <c r="T209" s="95"/>
    </row>
    <row r="210" s="9" customFormat="1" ht="14.4" spans="1:20">
      <c r="A210" s="42" t="str">
        <f t="shared" si="13"/>
        <v>FR003WM2A001E001</v>
      </c>
      <c r="B210" s="43" t="s">
        <v>75</v>
      </c>
      <c r="C210" s="282" t="s">
        <v>559</v>
      </c>
      <c r="D210" s="44" t="s">
        <v>196</v>
      </c>
      <c r="E210" s="44"/>
      <c r="F210" s="44"/>
      <c r="G210" s="44" t="s">
        <v>197</v>
      </c>
      <c r="H210" s="45" t="s">
        <v>198</v>
      </c>
      <c r="I210" s="44"/>
      <c r="J210" s="44"/>
      <c r="K210" s="44"/>
      <c r="L210" s="44" t="s">
        <v>131</v>
      </c>
      <c r="M210" s="43" t="s">
        <v>189</v>
      </c>
      <c r="N210" s="44" t="str">
        <f>"ETD_T40004_"&amp;'Check list'!E7</f>
        <v>ETD_T40004_FR003WM2A001E001</v>
      </c>
      <c r="O210" s="71" t="s">
        <v>131</v>
      </c>
      <c r="P210" s="72"/>
      <c r="Q210" s="92"/>
      <c r="R210" s="93"/>
      <c r="S210" s="94"/>
      <c r="T210" s="95"/>
    </row>
    <row r="211" s="9" customFormat="1" ht="14.4" spans="1:20">
      <c r="A211" s="42" t="str">
        <f t="shared" si="13"/>
        <v>FR003WM2A001E001</v>
      </c>
      <c r="B211" s="43" t="s">
        <v>75</v>
      </c>
      <c r="C211" s="282" t="s">
        <v>560</v>
      </c>
      <c r="D211" s="44" t="s">
        <v>191</v>
      </c>
      <c r="E211" s="44"/>
      <c r="F211" s="44"/>
      <c r="G211" s="44" t="s">
        <v>258</v>
      </c>
      <c r="H211" s="45" t="s">
        <v>193</v>
      </c>
      <c r="I211" s="44"/>
      <c r="J211" s="44"/>
      <c r="K211" s="44"/>
      <c r="L211" s="44" t="s">
        <v>131</v>
      </c>
      <c r="M211" s="43" t="s">
        <v>189</v>
      </c>
      <c r="N211" s="44" t="str">
        <f>"ETD_T40005_"&amp;'Check list'!E7</f>
        <v>ETD_T40005_FR003WM2A001E001</v>
      </c>
      <c r="O211" s="71" t="s">
        <v>131</v>
      </c>
      <c r="P211" s="72"/>
      <c r="Q211" s="92"/>
      <c r="R211" s="93"/>
      <c r="S211" s="94"/>
      <c r="T211" s="95"/>
    </row>
    <row r="212" s="9" customFormat="1" ht="14.4" spans="1:20">
      <c r="A212" s="42" t="str">
        <f t="shared" si="13"/>
        <v>FR003WM2A001E001</v>
      </c>
      <c r="B212" s="43" t="s">
        <v>75</v>
      </c>
      <c r="C212" s="282" t="s">
        <v>561</v>
      </c>
      <c r="D212" s="44" t="s">
        <v>170</v>
      </c>
      <c r="E212" s="44"/>
      <c r="F212" s="44"/>
      <c r="G212" s="44" t="s">
        <v>171</v>
      </c>
      <c r="H212" s="45" t="s">
        <v>172</v>
      </c>
      <c r="I212" s="44"/>
      <c r="J212" s="44"/>
      <c r="K212" s="44"/>
      <c r="L212" s="44" t="s">
        <v>131</v>
      </c>
      <c r="M212" s="43"/>
      <c r="N212" s="44"/>
      <c r="O212" s="71" t="s">
        <v>131</v>
      </c>
      <c r="P212" s="72"/>
      <c r="Q212" s="92"/>
      <c r="R212" s="93"/>
      <c r="S212" s="94"/>
      <c r="T212" s="95"/>
    </row>
    <row r="213" s="9" customFormat="1" ht="14.4" spans="1:20">
      <c r="A213" s="42" t="str">
        <f t="shared" si="13"/>
        <v>FR003WM2A001E001</v>
      </c>
      <c r="B213" s="43" t="s">
        <v>75</v>
      </c>
      <c r="C213" s="282" t="s">
        <v>562</v>
      </c>
      <c r="D213" s="44" t="s">
        <v>563</v>
      </c>
      <c r="E213" s="44"/>
      <c r="F213" s="44"/>
      <c r="G213" s="44" t="str">
        <f>"MTH-"&amp;'Check list'!$D$5&amp;"T4"</f>
        <v>MTH-EF041AT4</v>
      </c>
      <c r="H213" s="45" t="s">
        <v>235</v>
      </c>
      <c r="I213" s="44"/>
      <c r="J213" s="44"/>
      <c r="K213" s="44"/>
      <c r="L213" s="44" t="s">
        <v>564</v>
      </c>
      <c r="M213" s="43"/>
      <c r="N213" s="44"/>
      <c r="O213" s="71" t="s">
        <v>565</v>
      </c>
      <c r="P213" s="72">
        <v>260140</v>
      </c>
      <c r="Q213" s="92"/>
      <c r="R213" s="93"/>
      <c r="S213" s="94"/>
      <c r="T213" s="95"/>
    </row>
    <row r="214" s="9" customFormat="1" ht="14.4" spans="1:20">
      <c r="A214" s="42" t="str">
        <f t="shared" si="13"/>
        <v>FR003WM2A001E001</v>
      </c>
      <c r="B214" s="43" t="s">
        <v>75</v>
      </c>
      <c r="C214" s="282" t="s">
        <v>566</v>
      </c>
      <c r="D214" s="44" t="s">
        <v>212</v>
      </c>
      <c r="E214" s="44" t="s">
        <v>131</v>
      </c>
      <c r="F214" s="44"/>
      <c r="G214" s="44" t="s">
        <v>132</v>
      </c>
      <c r="H214" s="45" t="s">
        <v>186</v>
      </c>
      <c r="I214" s="44"/>
      <c r="J214" s="44"/>
      <c r="K214" s="44"/>
      <c r="L214" s="44"/>
      <c r="M214" s="43"/>
      <c r="N214" s="44"/>
      <c r="O214" s="71" t="s">
        <v>565</v>
      </c>
      <c r="P214" s="72">
        <v>260140</v>
      </c>
      <c r="Q214" s="92"/>
      <c r="R214" s="93"/>
      <c r="S214" s="94"/>
      <c r="T214" s="95"/>
    </row>
    <row r="215" s="9" customFormat="1" ht="14.4" spans="1:20">
      <c r="A215" s="42" t="str">
        <f t="shared" ref="A215:A228" si="14">$E$3</f>
        <v>FR003WM2A001E001</v>
      </c>
      <c r="B215" s="43" t="s">
        <v>75</v>
      </c>
      <c r="C215" s="282" t="s">
        <v>567</v>
      </c>
      <c r="D215" s="44" t="s">
        <v>214</v>
      </c>
      <c r="E215" s="44" t="s">
        <v>131</v>
      </c>
      <c r="F215" s="44"/>
      <c r="G215" s="44" t="s">
        <v>132</v>
      </c>
      <c r="H215" s="45" t="s">
        <v>215</v>
      </c>
      <c r="I215" s="44"/>
      <c r="J215" s="44"/>
      <c r="K215" s="44"/>
      <c r="L215" s="44"/>
      <c r="M215" s="43"/>
      <c r="N215" s="44"/>
      <c r="O215" s="71" t="s">
        <v>216</v>
      </c>
      <c r="P215" s="72">
        <v>260240</v>
      </c>
      <c r="Q215" s="92"/>
      <c r="R215" s="93"/>
      <c r="S215" s="94"/>
      <c r="T215" s="95"/>
    </row>
    <row r="216" s="10" customFormat="1" ht="14.4" spans="1:20">
      <c r="A216" s="46" t="str">
        <f t="shared" si="14"/>
        <v>FR003WM2A001E001</v>
      </c>
      <c r="B216" s="47" t="s">
        <v>76</v>
      </c>
      <c r="C216" s="285" t="s">
        <v>568</v>
      </c>
      <c r="D216" s="48" t="s">
        <v>170</v>
      </c>
      <c r="E216" s="48" t="s">
        <v>131</v>
      </c>
      <c r="F216" s="48"/>
      <c r="G216" s="48" t="s">
        <v>171</v>
      </c>
      <c r="H216" s="49" t="s">
        <v>172</v>
      </c>
      <c r="I216" s="48"/>
      <c r="J216" s="48"/>
      <c r="K216" s="48"/>
      <c r="L216" s="48"/>
      <c r="M216" s="47" t="s">
        <v>146</v>
      </c>
      <c r="N216" s="48" t="str">
        <f>"ETD_T50001_"&amp;'Check list'!E7</f>
        <v>ETD_T50001_FR003WM2A001E001</v>
      </c>
      <c r="O216" s="76" t="s">
        <v>131</v>
      </c>
      <c r="P216" s="77"/>
      <c r="Q216" s="96"/>
      <c r="R216" s="97"/>
      <c r="S216" s="98"/>
      <c r="T216" s="99"/>
    </row>
    <row r="217" s="10" customFormat="1" ht="14.4" spans="1:20">
      <c r="A217" s="46" t="str">
        <f t="shared" si="14"/>
        <v>FR003WM2A001E001</v>
      </c>
      <c r="B217" s="47" t="s">
        <v>76</v>
      </c>
      <c r="C217" s="285" t="s">
        <v>569</v>
      </c>
      <c r="D217" s="48" t="s">
        <v>570</v>
      </c>
      <c r="E217" s="48" t="s">
        <v>131</v>
      </c>
      <c r="F217" s="48"/>
      <c r="G217" s="48" t="str">
        <f>'Check list'!G28</f>
        <v>IP3000@EF041A-137</v>
      </c>
      <c r="H217" s="49" t="s">
        <v>175</v>
      </c>
      <c r="I217" s="48"/>
      <c r="J217" s="48" t="str">
        <f>'Check list'!$D$5&amp;"_137"</f>
        <v>EF041A_137</v>
      </c>
      <c r="K217" s="48"/>
      <c r="L217" s="48"/>
      <c r="M217" s="47" t="s">
        <v>146</v>
      </c>
      <c r="N217" s="48" t="str">
        <f>"ETD_T50002_"&amp;'Check list'!E7</f>
        <v>ETD_T50002_FR003WM2A001E001</v>
      </c>
      <c r="O217" s="76" t="s">
        <v>152</v>
      </c>
      <c r="P217" s="77">
        <v>280020</v>
      </c>
      <c r="Q217" s="96"/>
      <c r="R217" s="97"/>
      <c r="S217" s="98"/>
      <c r="T217" s="99"/>
    </row>
    <row r="218" s="10" customFormat="1" ht="14.4" spans="1:20">
      <c r="A218" s="46" t="str">
        <f t="shared" si="14"/>
        <v>FR003WM2A001E001</v>
      </c>
      <c r="B218" s="47" t="s">
        <v>76</v>
      </c>
      <c r="C218" s="285" t="s">
        <v>571</v>
      </c>
      <c r="D218" s="48" t="s">
        <v>572</v>
      </c>
      <c r="E218" s="48" t="s">
        <v>131</v>
      </c>
      <c r="F218" s="48"/>
      <c r="G218" s="48" t="str">
        <f>'Check list'!$D$5&amp;"/"&amp;'Check list'!$D$5&amp;"_T5_PH_B"</f>
        <v>EF041A/EF041A_T5_PH_B</v>
      </c>
      <c r="H218" s="49" t="s">
        <v>178</v>
      </c>
      <c r="I218" s="48"/>
      <c r="J218" s="48"/>
      <c r="K218" s="48"/>
      <c r="L218" s="48" t="s">
        <v>573</v>
      </c>
      <c r="M218" s="47"/>
      <c r="N218" s="48"/>
      <c r="O218" s="76" t="s">
        <v>243</v>
      </c>
      <c r="P218" s="77">
        <v>280020</v>
      </c>
      <c r="Q218" s="96"/>
      <c r="R218" s="97"/>
      <c r="S218" s="98"/>
      <c r="T218" s="99"/>
    </row>
    <row r="219" s="10" customFormat="1" ht="14.4" spans="1:20">
      <c r="A219" s="46" t="str">
        <f t="shared" si="14"/>
        <v>FR003WM2A001E001</v>
      </c>
      <c r="B219" s="47" t="s">
        <v>76</v>
      </c>
      <c r="C219" s="285" t="s">
        <v>574</v>
      </c>
      <c r="D219" s="48" t="s">
        <v>248</v>
      </c>
      <c r="E219" s="48" t="s">
        <v>131</v>
      </c>
      <c r="F219" s="48"/>
      <c r="G219" s="48" t="str">
        <f>"OVL"&amp;'Check list'!$D$5&amp;"-39"</f>
        <v>OVLEF041A-39</v>
      </c>
      <c r="H219" s="49" t="s">
        <v>249</v>
      </c>
      <c r="I219" s="48"/>
      <c r="J219" s="48"/>
      <c r="K219" s="48"/>
      <c r="L219" s="48" t="s">
        <v>575</v>
      </c>
      <c r="M219" s="47"/>
      <c r="N219" s="48"/>
      <c r="O219" s="76" t="s">
        <v>243</v>
      </c>
      <c r="P219" s="77">
        <v>280020</v>
      </c>
      <c r="Q219" s="96"/>
      <c r="R219" s="97"/>
      <c r="S219" s="98"/>
      <c r="T219" s="99"/>
    </row>
    <row r="220" s="10" customFormat="1" ht="14.4" spans="1:20">
      <c r="A220" s="46" t="str">
        <f t="shared" si="14"/>
        <v>FR003WM2A001E001</v>
      </c>
      <c r="B220" s="47" t="s">
        <v>76</v>
      </c>
      <c r="C220" s="285" t="s">
        <v>576</v>
      </c>
      <c r="D220" s="48" t="s">
        <v>185</v>
      </c>
      <c r="E220" s="48"/>
      <c r="F220" s="48"/>
      <c r="G220" s="48" t="s">
        <v>132</v>
      </c>
      <c r="H220" s="49" t="s">
        <v>186</v>
      </c>
      <c r="I220" s="48"/>
      <c r="J220" s="48"/>
      <c r="K220" s="48"/>
      <c r="L220" s="48" t="s">
        <v>131</v>
      </c>
      <c r="M220" s="47"/>
      <c r="N220" s="48"/>
      <c r="O220" s="76" t="s">
        <v>243</v>
      </c>
      <c r="P220" s="77">
        <v>280020</v>
      </c>
      <c r="Q220" s="96"/>
      <c r="R220" s="97"/>
      <c r="S220" s="98"/>
      <c r="T220" s="99"/>
    </row>
    <row r="221" s="10" customFormat="1" ht="14.4" spans="1:20">
      <c r="A221" s="46" t="str">
        <f t="shared" si="14"/>
        <v>FR003WM2A001E001</v>
      </c>
      <c r="B221" s="47" t="s">
        <v>76</v>
      </c>
      <c r="C221" s="285" t="s">
        <v>577</v>
      </c>
      <c r="D221" s="48" t="s">
        <v>578</v>
      </c>
      <c r="E221" s="48" t="str">
        <f>"T5 Trim removal Mo "&amp;'Check list'!D28&amp;"nm"</f>
        <v>T5 Trim removal Mo 015nm</v>
      </c>
      <c r="F221" s="48"/>
      <c r="G221" s="48" t="str">
        <f>'Check list'!I28</f>
        <v>TRM-MO280N-A</v>
      </c>
      <c r="H221" s="49" t="s">
        <v>414</v>
      </c>
      <c r="I221" s="48"/>
      <c r="J221" s="48"/>
      <c r="K221" s="48"/>
      <c r="L221" s="48" t="s">
        <v>131</v>
      </c>
      <c r="M221" s="47" t="s">
        <v>189</v>
      </c>
      <c r="N221" s="48" t="str">
        <f>"ETD_T50003_"&amp;'Check list'!E7</f>
        <v>ETD_T50003_FR003WM2A001E001</v>
      </c>
      <c r="O221" s="76"/>
      <c r="P221" s="77"/>
      <c r="Q221" s="96"/>
      <c r="R221" s="97"/>
      <c r="S221" s="98"/>
      <c r="T221" s="99"/>
    </row>
    <row r="222" s="10" customFormat="1" ht="14.4" spans="1:20">
      <c r="A222" s="46" t="str">
        <f t="shared" si="14"/>
        <v>FR003WM2A001E001</v>
      </c>
      <c r="B222" s="47" t="s">
        <v>76</v>
      </c>
      <c r="C222" s="285" t="s">
        <v>579</v>
      </c>
      <c r="D222" s="48" t="s">
        <v>196</v>
      </c>
      <c r="E222" s="48" t="s">
        <v>131</v>
      </c>
      <c r="F222" s="48"/>
      <c r="G222" s="48" t="s">
        <v>197</v>
      </c>
      <c r="H222" s="49" t="s">
        <v>198</v>
      </c>
      <c r="I222" s="48"/>
      <c r="J222" s="48"/>
      <c r="K222" s="48"/>
      <c r="L222" s="48" t="s">
        <v>131</v>
      </c>
      <c r="M222" s="47" t="s">
        <v>189</v>
      </c>
      <c r="N222" s="48" t="str">
        <f>"ETD_T50004_"&amp;'Check list'!E7</f>
        <v>ETD_T50004_FR003WM2A001E001</v>
      </c>
      <c r="O222" s="76" t="s">
        <v>131</v>
      </c>
      <c r="P222" s="77"/>
      <c r="Q222" s="96"/>
      <c r="R222" s="97"/>
      <c r="S222" s="98"/>
      <c r="T222" s="99"/>
    </row>
    <row r="223" s="10" customFormat="1" ht="14.4" spans="1:20">
      <c r="A223" s="46" t="str">
        <f t="shared" si="14"/>
        <v>FR003WM2A001E001</v>
      </c>
      <c r="B223" s="47" t="s">
        <v>76</v>
      </c>
      <c r="C223" s="285" t="s">
        <v>580</v>
      </c>
      <c r="D223" s="48" t="s">
        <v>191</v>
      </c>
      <c r="E223" s="48" t="s">
        <v>131</v>
      </c>
      <c r="F223" s="48"/>
      <c r="G223" s="48" t="s">
        <v>258</v>
      </c>
      <c r="H223" s="49" t="s">
        <v>193</v>
      </c>
      <c r="I223" s="48"/>
      <c r="J223" s="48"/>
      <c r="K223" s="48"/>
      <c r="L223" s="48" t="s">
        <v>131</v>
      </c>
      <c r="M223" s="47" t="s">
        <v>189</v>
      </c>
      <c r="N223" s="48" t="str">
        <f>"ETD_T50005_"&amp;'Check list'!E7</f>
        <v>ETD_T50005_FR003WM2A001E001</v>
      </c>
      <c r="O223" s="76" t="s">
        <v>131</v>
      </c>
      <c r="P223" s="77"/>
      <c r="Q223" s="96"/>
      <c r="R223" s="97"/>
      <c r="S223" s="98"/>
      <c r="T223" s="99"/>
    </row>
    <row r="224" s="10" customFormat="1" ht="14.4" spans="1:20">
      <c r="A224" s="46" t="str">
        <f t="shared" si="14"/>
        <v>FR003WM2A001E001</v>
      </c>
      <c r="B224" s="47" t="s">
        <v>76</v>
      </c>
      <c r="C224" s="285" t="s">
        <v>581</v>
      </c>
      <c r="D224" s="48" t="s">
        <v>170</v>
      </c>
      <c r="E224" s="48"/>
      <c r="F224" s="48"/>
      <c r="G224" s="48" t="s">
        <v>171</v>
      </c>
      <c r="H224" s="49" t="s">
        <v>172</v>
      </c>
      <c r="I224" s="48"/>
      <c r="J224" s="48"/>
      <c r="K224" s="48"/>
      <c r="L224" s="48" t="s">
        <v>131</v>
      </c>
      <c r="M224" s="47"/>
      <c r="N224" s="48"/>
      <c r="O224" s="76" t="s">
        <v>131</v>
      </c>
      <c r="P224" s="77"/>
      <c r="Q224" s="96"/>
      <c r="R224" s="97"/>
      <c r="S224" s="98"/>
      <c r="T224" s="99"/>
    </row>
    <row r="225" s="15" customFormat="1" ht="14.4" spans="1:20">
      <c r="A225" s="46" t="str">
        <f t="shared" si="14"/>
        <v>FR003WM2A001E001</v>
      </c>
      <c r="B225" s="47" t="s">
        <v>76</v>
      </c>
      <c r="C225" s="285" t="s">
        <v>582</v>
      </c>
      <c r="D225" s="48" t="s">
        <v>583</v>
      </c>
      <c r="E225" s="48" t="s">
        <v>131</v>
      </c>
      <c r="F225" s="48"/>
      <c r="G225" s="48" t="str">
        <f>"MTH-"&amp;'Check list'!$D$5&amp;"T5"</f>
        <v>MTH-EF041AT5</v>
      </c>
      <c r="H225" s="49" t="s">
        <v>235</v>
      </c>
      <c r="I225" s="48"/>
      <c r="J225" s="48"/>
      <c r="K225" s="48"/>
      <c r="L225" s="48" t="s">
        <v>584</v>
      </c>
      <c r="M225" s="47"/>
      <c r="N225" s="48"/>
      <c r="O225" s="76" t="s">
        <v>585</v>
      </c>
      <c r="P225" s="77">
        <v>280140</v>
      </c>
      <c r="Q225" s="96"/>
      <c r="R225" s="97"/>
      <c r="S225" s="98"/>
      <c r="T225" s="99"/>
    </row>
    <row r="226" s="10" customFormat="1" ht="14.4" spans="1:20">
      <c r="A226" s="46" t="str">
        <f t="shared" si="14"/>
        <v>FR003WM2A001E001</v>
      </c>
      <c r="B226" s="47" t="s">
        <v>76</v>
      </c>
      <c r="C226" s="285" t="s">
        <v>586</v>
      </c>
      <c r="D226" s="48" t="s">
        <v>212</v>
      </c>
      <c r="E226" s="48" t="s">
        <v>131</v>
      </c>
      <c r="F226" s="48"/>
      <c r="G226" s="48" t="s">
        <v>132</v>
      </c>
      <c r="H226" s="49" t="s">
        <v>186</v>
      </c>
      <c r="I226" s="48"/>
      <c r="J226" s="48"/>
      <c r="K226" s="48"/>
      <c r="L226" s="48"/>
      <c r="M226" s="47"/>
      <c r="N226" s="48"/>
      <c r="O226" s="76" t="s">
        <v>585</v>
      </c>
      <c r="P226" s="77">
        <v>280140</v>
      </c>
      <c r="Q226" s="96"/>
      <c r="R226" s="97"/>
      <c r="S226" s="98"/>
      <c r="T226" s="99"/>
    </row>
    <row r="227" s="10" customFormat="1" ht="14.4" spans="1:20">
      <c r="A227" s="46" t="str">
        <f t="shared" si="14"/>
        <v>FR003WM2A001E001</v>
      </c>
      <c r="B227" s="47" t="s">
        <v>76</v>
      </c>
      <c r="C227" s="285" t="s">
        <v>587</v>
      </c>
      <c r="D227" s="48" t="s">
        <v>214</v>
      </c>
      <c r="E227" s="48" t="s">
        <v>131</v>
      </c>
      <c r="F227" s="48"/>
      <c r="G227" s="48" t="s">
        <v>132</v>
      </c>
      <c r="H227" s="49" t="s">
        <v>215</v>
      </c>
      <c r="I227" s="48"/>
      <c r="J227" s="48"/>
      <c r="K227" s="48"/>
      <c r="L227" s="48"/>
      <c r="M227" s="47"/>
      <c r="N227" s="48"/>
      <c r="O227" s="76" t="s">
        <v>216</v>
      </c>
      <c r="P227" s="77">
        <v>280260</v>
      </c>
      <c r="Q227" s="96"/>
      <c r="R227" s="97"/>
      <c r="S227" s="98"/>
      <c r="T227" s="99"/>
    </row>
    <row r="228" s="16" customFormat="1" ht="14.4" spans="1:20">
      <c r="A228" s="138" t="s">
        <v>588</v>
      </c>
      <c r="B228" s="139" t="s">
        <v>77</v>
      </c>
      <c r="C228" s="295" t="s">
        <v>589</v>
      </c>
      <c r="D228" s="140" t="s">
        <v>170</v>
      </c>
      <c r="E228" s="140" t="s">
        <v>131</v>
      </c>
      <c r="F228" s="140"/>
      <c r="G228" s="140" t="s">
        <v>171</v>
      </c>
      <c r="H228" s="141" t="s">
        <v>172</v>
      </c>
      <c r="I228" s="140"/>
      <c r="J228" s="140"/>
      <c r="K228" s="140"/>
      <c r="L228" s="140"/>
      <c r="M228" s="139" t="s">
        <v>146</v>
      </c>
      <c r="N228" s="140" t="str">
        <f>"ETD_T60001_"&amp;'Check list'!E7</f>
        <v>ETD_T60001_FR003WM2A001E001</v>
      </c>
      <c r="O228" s="150" t="s">
        <v>131</v>
      </c>
      <c r="P228" s="151"/>
      <c r="Q228" s="156"/>
      <c r="R228" s="157"/>
      <c r="S228" s="158"/>
      <c r="T228" s="159"/>
    </row>
    <row r="229" s="16" customFormat="1" ht="14.4" spans="1:20">
      <c r="A229" s="138" t="s">
        <v>588</v>
      </c>
      <c r="B229" s="139" t="s">
        <v>77</v>
      </c>
      <c r="C229" s="295" t="s">
        <v>590</v>
      </c>
      <c r="D229" s="140" t="s">
        <v>591</v>
      </c>
      <c r="E229" s="140" t="s">
        <v>131</v>
      </c>
      <c r="F229" s="140"/>
      <c r="G229" s="140" t="str">
        <f>'Check list'!G29</f>
        <v>IP3000@EF041A-138</v>
      </c>
      <c r="H229" s="141" t="s">
        <v>175</v>
      </c>
      <c r="I229" s="140"/>
      <c r="J229" s="140" t="str">
        <f>'Check list'!$D$5&amp;"_138"</f>
        <v>EF041A_138</v>
      </c>
      <c r="K229" s="140"/>
      <c r="L229" s="140"/>
      <c r="M229" s="139" t="s">
        <v>146</v>
      </c>
      <c r="N229" s="140" t="str">
        <f>"ETD_T60002_"&amp;'Check list'!E7</f>
        <v>ETD_T60002_FR003WM2A001E001</v>
      </c>
      <c r="O229" s="150" t="s">
        <v>152</v>
      </c>
      <c r="P229" s="151">
        <v>285020</v>
      </c>
      <c r="Q229" s="156"/>
      <c r="R229" s="157"/>
      <c r="S229" s="158"/>
      <c r="T229" s="159"/>
    </row>
    <row r="230" s="16" customFormat="1" ht="14.4" spans="1:20">
      <c r="A230" s="138" t="s">
        <v>588</v>
      </c>
      <c r="B230" s="139" t="s">
        <v>77</v>
      </c>
      <c r="C230" s="295" t="s">
        <v>592</v>
      </c>
      <c r="D230" s="140" t="s">
        <v>593</v>
      </c>
      <c r="E230" s="140" t="s">
        <v>131</v>
      </c>
      <c r="F230" s="140"/>
      <c r="G230" s="140" t="str">
        <f>'Check list'!$D$5&amp;"/"&amp;'Check list'!$D$5&amp;"_T6_PH_B"</f>
        <v>EF041A/EF041A_T6_PH_B</v>
      </c>
      <c r="H230" s="141" t="s">
        <v>178</v>
      </c>
      <c r="I230" s="140"/>
      <c r="J230" s="140"/>
      <c r="K230" s="140"/>
      <c r="L230" s="140" t="s">
        <v>594</v>
      </c>
      <c r="M230" s="139"/>
      <c r="N230" s="140"/>
      <c r="O230" s="150" t="s">
        <v>243</v>
      </c>
      <c r="P230" s="151">
        <v>285020</v>
      </c>
      <c r="Q230" s="156"/>
      <c r="R230" s="157"/>
      <c r="S230" s="158"/>
      <c r="T230" s="159"/>
    </row>
    <row r="231" s="16" customFormat="1" ht="14.4" spans="1:20">
      <c r="A231" s="138" t="s">
        <v>588</v>
      </c>
      <c r="B231" s="139" t="s">
        <v>77</v>
      </c>
      <c r="C231" s="295" t="s">
        <v>595</v>
      </c>
      <c r="D231" s="140" t="s">
        <v>248</v>
      </c>
      <c r="E231" s="140" t="s">
        <v>131</v>
      </c>
      <c r="F231" s="140"/>
      <c r="G231" s="140" t="str">
        <f>"OVL"&amp;'Check list'!$D$5&amp;"-138"</f>
        <v>OVLEF041A-138</v>
      </c>
      <c r="H231" s="141" t="s">
        <v>249</v>
      </c>
      <c r="I231" s="140"/>
      <c r="J231" s="140"/>
      <c r="K231" s="140"/>
      <c r="L231" s="140" t="s">
        <v>596</v>
      </c>
      <c r="M231" s="139"/>
      <c r="N231" s="140"/>
      <c r="O231" s="150" t="s">
        <v>243</v>
      </c>
      <c r="P231" s="151">
        <v>285020</v>
      </c>
      <c r="Q231" s="156"/>
      <c r="R231" s="157"/>
      <c r="S231" s="158"/>
      <c r="T231" s="159"/>
    </row>
    <row r="232" s="16" customFormat="1" ht="14.4" spans="1:20">
      <c r="A232" s="138" t="s">
        <v>588</v>
      </c>
      <c r="B232" s="139" t="s">
        <v>77</v>
      </c>
      <c r="C232" s="295" t="s">
        <v>597</v>
      </c>
      <c r="D232" s="140" t="s">
        <v>185</v>
      </c>
      <c r="E232" s="140"/>
      <c r="F232" s="140"/>
      <c r="G232" s="140" t="s">
        <v>132</v>
      </c>
      <c r="H232" s="141" t="s">
        <v>186</v>
      </c>
      <c r="I232" s="140"/>
      <c r="J232" s="140"/>
      <c r="K232" s="140"/>
      <c r="L232" s="140" t="s">
        <v>131</v>
      </c>
      <c r="M232" s="139"/>
      <c r="N232" s="140"/>
      <c r="O232" s="150" t="s">
        <v>243</v>
      </c>
      <c r="P232" s="151">
        <v>285020</v>
      </c>
      <c r="Q232" s="156"/>
      <c r="R232" s="157"/>
      <c r="S232" s="158"/>
      <c r="T232" s="159"/>
    </row>
    <row r="233" s="16" customFormat="1" ht="14.4" spans="1:20">
      <c r="A233" s="138" t="s">
        <v>588</v>
      </c>
      <c r="B233" s="139" t="s">
        <v>77</v>
      </c>
      <c r="C233" s="295" t="s">
        <v>598</v>
      </c>
      <c r="D233" s="140" t="s">
        <v>599</v>
      </c>
      <c r="E233" s="140" t="s">
        <v>600</v>
      </c>
      <c r="F233" s="140"/>
      <c r="G233" s="140" t="str">
        <f>'Check list'!I29</f>
        <v>TRM-MO280N-A</v>
      </c>
      <c r="H233" s="141" t="s">
        <v>414</v>
      </c>
      <c r="I233" s="140"/>
      <c r="J233" s="140"/>
      <c r="K233" s="140"/>
      <c r="L233" s="140" t="s">
        <v>131</v>
      </c>
      <c r="M233" s="139" t="s">
        <v>189</v>
      </c>
      <c r="N233" s="140" t="str">
        <f>"ETD_T60003_"&amp;'Check list'!E7</f>
        <v>ETD_T60003_FR003WM2A001E001</v>
      </c>
      <c r="O233" s="150"/>
      <c r="P233" s="151"/>
      <c r="Q233" s="156"/>
      <c r="R233" s="157"/>
      <c r="S233" s="158"/>
      <c r="T233" s="159"/>
    </row>
    <row r="234" s="16" customFormat="1" ht="14.4" spans="1:20">
      <c r="A234" s="138" t="s">
        <v>588</v>
      </c>
      <c r="B234" s="139" t="s">
        <v>77</v>
      </c>
      <c r="C234" s="295" t="s">
        <v>601</v>
      </c>
      <c r="D234" s="140" t="s">
        <v>196</v>
      </c>
      <c r="E234" s="140" t="s">
        <v>131</v>
      </c>
      <c r="F234" s="140"/>
      <c r="G234" s="140" t="s">
        <v>197</v>
      </c>
      <c r="H234" s="141" t="s">
        <v>198</v>
      </c>
      <c r="I234" s="140"/>
      <c r="J234" s="140"/>
      <c r="K234" s="140"/>
      <c r="L234" s="140" t="s">
        <v>131</v>
      </c>
      <c r="M234" s="139" t="s">
        <v>189</v>
      </c>
      <c r="N234" s="140" t="str">
        <f>"ETD_T60004_"&amp;'Check list'!E7</f>
        <v>ETD_T60004_FR003WM2A001E001</v>
      </c>
      <c r="O234" s="150" t="s">
        <v>131</v>
      </c>
      <c r="P234" s="151"/>
      <c r="Q234" s="156"/>
      <c r="R234" s="157"/>
      <c r="S234" s="158"/>
      <c r="T234" s="159"/>
    </row>
    <row r="235" s="16" customFormat="1" ht="14.4" spans="1:20">
      <c r="A235" s="138" t="s">
        <v>588</v>
      </c>
      <c r="B235" s="139" t="s">
        <v>77</v>
      </c>
      <c r="C235" s="295" t="s">
        <v>602</v>
      </c>
      <c r="D235" s="140" t="s">
        <v>191</v>
      </c>
      <c r="E235" s="140" t="s">
        <v>131</v>
      </c>
      <c r="F235" s="140"/>
      <c r="G235" s="140" t="s">
        <v>258</v>
      </c>
      <c r="H235" s="141" t="s">
        <v>193</v>
      </c>
      <c r="I235" s="140"/>
      <c r="J235" s="140"/>
      <c r="K235" s="140"/>
      <c r="L235" s="140" t="s">
        <v>131</v>
      </c>
      <c r="M235" s="139" t="s">
        <v>189</v>
      </c>
      <c r="N235" s="140" t="str">
        <f>"ETD_T60005_"&amp;'Check list'!E7</f>
        <v>ETD_T60005_FR003WM2A001E001</v>
      </c>
      <c r="O235" s="150" t="s">
        <v>131</v>
      </c>
      <c r="P235" s="151"/>
      <c r="Q235" s="156"/>
      <c r="R235" s="157"/>
      <c r="S235" s="158"/>
      <c r="T235" s="159"/>
    </row>
    <row r="236" s="16" customFormat="1" ht="14.4" spans="1:20">
      <c r="A236" s="138" t="s">
        <v>588</v>
      </c>
      <c r="B236" s="139" t="s">
        <v>77</v>
      </c>
      <c r="C236" s="295" t="s">
        <v>603</v>
      </c>
      <c r="D236" s="140" t="s">
        <v>170</v>
      </c>
      <c r="E236" s="140"/>
      <c r="F236" s="140"/>
      <c r="G236" s="140" t="s">
        <v>171</v>
      </c>
      <c r="H236" s="141" t="s">
        <v>172</v>
      </c>
      <c r="I236" s="140"/>
      <c r="J236" s="140"/>
      <c r="K236" s="140"/>
      <c r="L236" s="140" t="s">
        <v>131</v>
      </c>
      <c r="M236" s="139"/>
      <c r="N236" s="140"/>
      <c r="O236" s="150" t="s">
        <v>131</v>
      </c>
      <c r="P236" s="151"/>
      <c r="Q236" s="156"/>
      <c r="R236" s="157"/>
      <c r="S236" s="158"/>
      <c r="T236" s="159"/>
    </row>
    <row r="237" s="16" customFormat="1" ht="14.4" spans="1:20">
      <c r="A237" s="138" t="s">
        <v>588</v>
      </c>
      <c r="B237" s="139" t="s">
        <v>77</v>
      </c>
      <c r="C237" s="295" t="s">
        <v>604</v>
      </c>
      <c r="D237" s="140" t="s">
        <v>605</v>
      </c>
      <c r="E237" s="140" t="s">
        <v>131</v>
      </c>
      <c r="F237" s="140"/>
      <c r="G237" s="140" t="str">
        <f>"MTH-"&amp;'Check list'!$D$5&amp;"T6"</f>
        <v>MTH-EF041AT6</v>
      </c>
      <c r="H237" s="141" t="s">
        <v>235</v>
      </c>
      <c r="I237" s="140"/>
      <c r="J237" s="140"/>
      <c r="K237" s="140"/>
      <c r="L237" s="140" t="s">
        <v>606</v>
      </c>
      <c r="M237" s="139"/>
      <c r="N237" s="140"/>
      <c r="O237" s="150" t="s">
        <v>607</v>
      </c>
      <c r="P237" s="151">
        <v>285140</v>
      </c>
      <c r="Q237" s="156"/>
      <c r="R237" s="157"/>
      <c r="S237" s="158"/>
      <c r="T237" s="159"/>
    </row>
    <row r="238" s="16" customFormat="1" ht="14.4" spans="1:20">
      <c r="A238" s="138" t="s">
        <v>588</v>
      </c>
      <c r="B238" s="139" t="s">
        <v>77</v>
      </c>
      <c r="C238" s="295" t="s">
        <v>608</v>
      </c>
      <c r="D238" s="140" t="s">
        <v>212</v>
      </c>
      <c r="E238" s="140" t="s">
        <v>131</v>
      </c>
      <c r="F238" s="140"/>
      <c r="G238" s="140" t="s">
        <v>132</v>
      </c>
      <c r="H238" s="141" t="s">
        <v>186</v>
      </c>
      <c r="I238" s="140"/>
      <c r="J238" s="140"/>
      <c r="K238" s="140"/>
      <c r="L238" s="140"/>
      <c r="M238" s="139"/>
      <c r="N238" s="140"/>
      <c r="O238" s="150" t="s">
        <v>607</v>
      </c>
      <c r="P238" s="151">
        <v>285140</v>
      </c>
      <c r="Q238" s="156"/>
      <c r="R238" s="157"/>
      <c r="S238" s="158"/>
      <c r="T238" s="159"/>
    </row>
    <row r="239" s="16" customFormat="1" ht="14.4" spans="1:20">
      <c r="A239" s="138" t="s">
        <v>588</v>
      </c>
      <c r="B239" s="139" t="s">
        <v>77</v>
      </c>
      <c r="C239" s="295" t="s">
        <v>609</v>
      </c>
      <c r="D239" s="140" t="s">
        <v>214</v>
      </c>
      <c r="E239" s="140" t="s">
        <v>131</v>
      </c>
      <c r="F239" s="140"/>
      <c r="G239" s="140" t="s">
        <v>132</v>
      </c>
      <c r="H239" s="141" t="s">
        <v>215</v>
      </c>
      <c r="I239" s="140"/>
      <c r="J239" s="140"/>
      <c r="K239" s="140"/>
      <c r="L239" s="140"/>
      <c r="M239" s="139"/>
      <c r="N239" s="140"/>
      <c r="O239" s="150" t="s">
        <v>216</v>
      </c>
      <c r="P239" s="151">
        <v>285260</v>
      </c>
      <c r="Q239" s="156"/>
      <c r="R239" s="157"/>
      <c r="S239" s="158"/>
      <c r="T239" s="159"/>
    </row>
    <row r="240" s="17" customFormat="1" ht="14.4" spans="1:20">
      <c r="A240" s="142" t="s">
        <v>588</v>
      </c>
      <c r="B240" s="143" t="s">
        <v>79</v>
      </c>
      <c r="C240" s="296" t="s">
        <v>610</v>
      </c>
      <c r="D240" s="144" t="s">
        <v>170</v>
      </c>
      <c r="E240" s="144" t="s">
        <v>131</v>
      </c>
      <c r="F240" s="144"/>
      <c r="G240" s="144" t="s">
        <v>171</v>
      </c>
      <c r="H240" s="145" t="s">
        <v>172</v>
      </c>
      <c r="I240" s="144"/>
      <c r="J240" s="144"/>
      <c r="K240" s="144"/>
      <c r="L240" s="144"/>
      <c r="M240" s="143" t="s">
        <v>146</v>
      </c>
      <c r="N240" s="144" t="str">
        <f>"ETD_T70001_"&amp;'Check list'!E7</f>
        <v>ETD_T70001_FR003WM2A001E001</v>
      </c>
      <c r="O240" s="152" t="s">
        <v>131</v>
      </c>
      <c r="P240" s="153"/>
      <c r="Q240" s="160"/>
      <c r="R240" s="161"/>
      <c r="S240" s="162"/>
      <c r="T240" s="163"/>
    </row>
    <row r="241" s="17" customFormat="1" ht="14.4" spans="1:20">
      <c r="A241" s="142" t="s">
        <v>588</v>
      </c>
      <c r="B241" s="143" t="s">
        <v>79</v>
      </c>
      <c r="C241" s="296" t="s">
        <v>611</v>
      </c>
      <c r="D241" s="144" t="s">
        <v>612</v>
      </c>
      <c r="E241" s="144" t="s">
        <v>131</v>
      </c>
      <c r="F241" s="144"/>
      <c r="G241" s="144" t="str">
        <f>'Check list'!G30</f>
        <v>IP3000@EF041A-139</v>
      </c>
      <c r="H241" s="145" t="s">
        <v>175</v>
      </c>
      <c r="I241" s="144"/>
      <c r="J241" s="144" t="str">
        <f>'Check list'!$D$5&amp;"_139"</f>
        <v>EF041A_139</v>
      </c>
      <c r="K241" s="144"/>
      <c r="L241" s="144"/>
      <c r="M241" s="143" t="s">
        <v>146</v>
      </c>
      <c r="N241" s="144" t="str">
        <f>"ETD_T70002_"&amp;'Check list'!E7</f>
        <v>ETD_T70002_FR003WM2A001E001</v>
      </c>
      <c r="O241" s="152" t="s">
        <v>152</v>
      </c>
      <c r="P241" s="153">
        <v>290020</v>
      </c>
      <c r="Q241" s="160"/>
      <c r="R241" s="161"/>
      <c r="S241" s="162"/>
      <c r="T241" s="163"/>
    </row>
    <row r="242" s="17" customFormat="1" ht="14.4" spans="1:20">
      <c r="A242" s="142" t="s">
        <v>588</v>
      </c>
      <c r="B242" s="143" t="s">
        <v>79</v>
      </c>
      <c r="C242" s="296" t="s">
        <v>613</v>
      </c>
      <c r="D242" s="144" t="s">
        <v>614</v>
      </c>
      <c r="E242" s="144" t="s">
        <v>131</v>
      </c>
      <c r="F242" s="144"/>
      <c r="G242" s="144" t="str">
        <f>'Check list'!$D$5&amp;"/"&amp;'Check list'!$D$5&amp;"_T7_PH_B"</f>
        <v>EF041A/EF041A_T7_PH_B</v>
      </c>
      <c r="H242" s="145" t="s">
        <v>178</v>
      </c>
      <c r="I242" s="144"/>
      <c r="J242" s="144"/>
      <c r="K242" s="144"/>
      <c r="L242" s="144" t="s">
        <v>615</v>
      </c>
      <c r="M242" s="143"/>
      <c r="N242" s="144"/>
      <c r="O242" s="152" t="s">
        <v>243</v>
      </c>
      <c r="P242" s="153">
        <v>290020</v>
      </c>
      <c r="Q242" s="160"/>
      <c r="R242" s="161"/>
      <c r="S242" s="162"/>
      <c r="T242" s="163"/>
    </row>
    <row r="243" s="17" customFormat="1" ht="14.4" spans="1:20">
      <c r="A243" s="142" t="s">
        <v>588</v>
      </c>
      <c r="B243" s="143" t="s">
        <v>79</v>
      </c>
      <c r="C243" s="296" t="s">
        <v>616</v>
      </c>
      <c r="D243" s="144" t="s">
        <v>248</v>
      </c>
      <c r="E243" s="144" t="s">
        <v>131</v>
      </c>
      <c r="F243" s="144"/>
      <c r="G243" s="144" t="str">
        <f>"OVL"&amp;'Check list'!$D$5&amp;"-139"</f>
        <v>OVLEF041A-139</v>
      </c>
      <c r="H243" s="145" t="s">
        <v>249</v>
      </c>
      <c r="I243" s="144"/>
      <c r="J243" s="144"/>
      <c r="K243" s="144"/>
      <c r="L243" s="144" t="s">
        <v>617</v>
      </c>
      <c r="M243" s="143"/>
      <c r="N243" s="144"/>
      <c r="O243" s="152" t="s">
        <v>243</v>
      </c>
      <c r="P243" s="153">
        <v>290020</v>
      </c>
      <c r="Q243" s="160"/>
      <c r="R243" s="161"/>
      <c r="S243" s="162"/>
      <c r="T243" s="163"/>
    </row>
    <row r="244" s="17" customFormat="1" ht="14.4" spans="1:20">
      <c r="A244" s="142" t="s">
        <v>588</v>
      </c>
      <c r="B244" s="143" t="s">
        <v>79</v>
      </c>
      <c r="C244" s="296" t="s">
        <v>618</v>
      </c>
      <c r="D244" s="144" t="s">
        <v>185</v>
      </c>
      <c r="E244" s="144"/>
      <c r="F244" s="144"/>
      <c r="G244" s="144" t="s">
        <v>132</v>
      </c>
      <c r="H244" s="145" t="s">
        <v>186</v>
      </c>
      <c r="I244" s="144"/>
      <c r="J244" s="144"/>
      <c r="K244" s="144"/>
      <c r="L244" s="144" t="s">
        <v>131</v>
      </c>
      <c r="M244" s="143"/>
      <c r="N244" s="144"/>
      <c r="O244" s="152" t="s">
        <v>243</v>
      </c>
      <c r="P244" s="153">
        <v>290020</v>
      </c>
      <c r="Q244" s="160"/>
      <c r="R244" s="161"/>
      <c r="S244" s="162"/>
      <c r="T244" s="163"/>
    </row>
    <row r="245" s="17" customFormat="1" ht="14.4" spans="1:20">
      <c r="A245" s="142" t="s">
        <v>588</v>
      </c>
      <c r="B245" s="143" t="s">
        <v>79</v>
      </c>
      <c r="C245" s="296" t="s">
        <v>619</v>
      </c>
      <c r="D245" s="144" t="s">
        <v>620</v>
      </c>
      <c r="E245" s="144" t="s">
        <v>621</v>
      </c>
      <c r="F245" s="144"/>
      <c r="G245" s="144" t="str">
        <f>'Check list'!$D$5&amp;"/"&amp;'Check list'!$D$5&amp;"_T7_PH_B"</f>
        <v>EF041A/EF041A_T7_PH_B</v>
      </c>
      <c r="H245" s="145" t="s">
        <v>414</v>
      </c>
      <c r="I245" s="144"/>
      <c r="J245" s="144"/>
      <c r="K245" s="144"/>
      <c r="L245" s="144" t="s">
        <v>131</v>
      </c>
      <c r="M245" s="143" t="s">
        <v>189</v>
      </c>
      <c r="N245" s="144" t="str">
        <f>"ETD_T70003_"&amp;'Check list'!E7</f>
        <v>ETD_T70003_FR003WM2A001E001</v>
      </c>
      <c r="O245" s="152"/>
      <c r="P245" s="153"/>
      <c r="Q245" s="160"/>
      <c r="R245" s="161"/>
      <c r="S245" s="162"/>
      <c r="T245" s="163"/>
    </row>
    <row r="246" s="17" customFormat="1" ht="14.4" spans="1:20">
      <c r="A246" s="142" t="s">
        <v>588</v>
      </c>
      <c r="B246" s="143" t="s">
        <v>79</v>
      </c>
      <c r="C246" s="296" t="s">
        <v>622</v>
      </c>
      <c r="D246" s="144" t="s">
        <v>196</v>
      </c>
      <c r="E246" s="144" t="s">
        <v>131</v>
      </c>
      <c r="F246" s="144"/>
      <c r="G246" s="144" t="s">
        <v>197</v>
      </c>
      <c r="H246" s="145" t="s">
        <v>198</v>
      </c>
      <c r="I246" s="144"/>
      <c r="J246" s="144"/>
      <c r="K246" s="144"/>
      <c r="L246" s="144" t="s">
        <v>131</v>
      </c>
      <c r="M246" s="143" t="s">
        <v>189</v>
      </c>
      <c r="N246" s="144" t="str">
        <f>"ETD_T70004_"&amp;'Check list'!E7</f>
        <v>ETD_T70004_FR003WM2A001E001</v>
      </c>
      <c r="O246" s="152" t="s">
        <v>131</v>
      </c>
      <c r="P246" s="153"/>
      <c r="Q246" s="160"/>
      <c r="R246" s="161"/>
      <c r="S246" s="162"/>
      <c r="T246" s="163"/>
    </row>
    <row r="247" s="17" customFormat="1" ht="14.4" spans="1:20">
      <c r="A247" s="142" t="s">
        <v>588</v>
      </c>
      <c r="B247" s="143" t="s">
        <v>79</v>
      </c>
      <c r="C247" s="296" t="s">
        <v>623</v>
      </c>
      <c r="D247" s="144" t="s">
        <v>191</v>
      </c>
      <c r="E247" s="144" t="s">
        <v>131</v>
      </c>
      <c r="F247" s="144"/>
      <c r="G247" s="144" t="s">
        <v>258</v>
      </c>
      <c r="H247" s="145" t="s">
        <v>193</v>
      </c>
      <c r="I247" s="144"/>
      <c r="J247" s="144"/>
      <c r="K247" s="144"/>
      <c r="L247" s="144" t="s">
        <v>131</v>
      </c>
      <c r="M247" s="143" t="s">
        <v>189</v>
      </c>
      <c r="N247" s="144" t="str">
        <f>"ETD_T70005_"&amp;'Check list'!E7</f>
        <v>ETD_T70005_FR003WM2A001E001</v>
      </c>
      <c r="O247" s="152" t="s">
        <v>131</v>
      </c>
      <c r="P247" s="153"/>
      <c r="Q247" s="160"/>
      <c r="R247" s="161"/>
      <c r="S247" s="162"/>
      <c r="T247" s="163"/>
    </row>
    <row r="248" s="17" customFormat="1" ht="14.4" spans="1:20">
      <c r="A248" s="142" t="s">
        <v>588</v>
      </c>
      <c r="B248" s="143" t="s">
        <v>79</v>
      </c>
      <c r="C248" s="296" t="s">
        <v>624</v>
      </c>
      <c r="D248" s="144" t="s">
        <v>170</v>
      </c>
      <c r="E248" s="144"/>
      <c r="F248" s="144"/>
      <c r="G248" s="144" t="s">
        <v>171</v>
      </c>
      <c r="H248" s="145" t="s">
        <v>172</v>
      </c>
      <c r="I248" s="144"/>
      <c r="J248" s="144"/>
      <c r="K248" s="144"/>
      <c r="L248" s="144" t="s">
        <v>131</v>
      </c>
      <c r="M248" s="143"/>
      <c r="N248" s="144"/>
      <c r="O248" s="152" t="s">
        <v>131</v>
      </c>
      <c r="P248" s="153"/>
      <c r="Q248" s="160"/>
      <c r="R248" s="161"/>
      <c r="S248" s="162"/>
      <c r="T248" s="163"/>
    </row>
    <row r="249" s="17" customFormat="1" ht="14.4" spans="1:20">
      <c r="A249" s="142" t="s">
        <v>588</v>
      </c>
      <c r="B249" s="143" t="s">
        <v>79</v>
      </c>
      <c r="C249" s="296" t="s">
        <v>625</v>
      </c>
      <c r="D249" s="144" t="s">
        <v>626</v>
      </c>
      <c r="E249" s="144" t="s">
        <v>131</v>
      </c>
      <c r="F249" s="144"/>
      <c r="G249" s="144" t="str">
        <f>"MTH-"&amp;'Check list'!$D$5&amp;"T7"</f>
        <v>MTH-EF041AT7</v>
      </c>
      <c r="H249" s="145" t="s">
        <v>235</v>
      </c>
      <c r="I249" s="144"/>
      <c r="J249" s="144"/>
      <c r="K249" s="144"/>
      <c r="L249" s="144" t="s">
        <v>627</v>
      </c>
      <c r="M249" s="143"/>
      <c r="N249" s="144"/>
      <c r="O249" s="152" t="s">
        <v>628</v>
      </c>
      <c r="P249" s="153">
        <v>290140</v>
      </c>
      <c r="Q249" s="160"/>
      <c r="R249" s="161"/>
      <c r="S249" s="162"/>
      <c r="T249" s="163"/>
    </row>
    <row r="250" s="17" customFormat="1" ht="14.4" spans="1:20">
      <c r="A250" s="142" t="s">
        <v>588</v>
      </c>
      <c r="B250" s="143" t="s">
        <v>79</v>
      </c>
      <c r="C250" s="296" t="s">
        <v>629</v>
      </c>
      <c r="D250" s="144" t="s">
        <v>212</v>
      </c>
      <c r="E250" s="144" t="s">
        <v>131</v>
      </c>
      <c r="F250" s="144"/>
      <c r="G250" s="144" t="s">
        <v>132</v>
      </c>
      <c r="H250" s="145" t="s">
        <v>186</v>
      </c>
      <c r="I250" s="144"/>
      <c r="J250" s="144"/>
      <c r="K250" s="144"/>
      <c r="L250" s="144"/>
      <c r="M250" s="143"/>
      <c r="N250" s="144"/>
      <c r="O250" s="152" t="s">
        <v>628</v>
      </c>
      <c r="P250" s="153">
        <v>290140</v>
      </c>
      <c r="Q250" s="160"/>
      <c r="R250" s="161"/>
      <c r="S250" s="162"/>
      <c r="T250" s="163"/>
    </row>
    <row r="251" s="17" customFormat="1" ht="14.4" spans="1:20">
      <c r="A251" s="142" t="s">
        <v>588</v>
      </c>
      <c r="B251" s="143" t="s">
        <v>79</v>
      </c>
      <c r="C251" s="296" t="s">
        <v>630</v>
      </c>
      <c r="D251" s="144" t="s">
        <v>214</v>
      </c>
      <c r="E251" s="144" t="s">
        <v>131</v>
      </c>
      <c r="F251" s="144"/>
      <c r="G251" s="144" t="s">
        <v>132</v>
      </c>
      <c r="H251" s="145" t="s">
        <v>215</v>
      </c>
      <c r="I251" s="144"/>
      <c r="J251" s="144"/>
      <c r="K251" s="144"/>
      <c r="L251" s="144"/>
      <c r="M251" s="143"/>
      <c r="N251" s="144"/>
      <c r="O251" s="152" t="s">
        <v>216</v>
      </c>
      <c r="P251" s="153">
        <v>290260</v>
      </c>
      <c r="Q251" s="160"/>
      <c r="R251" s="161"/>
      <c r="S251" s="162"/>
      <c r="T251" s="163"/>
    </row>
    <row r="252" s="18" customFormat="1" ht="14.4" spans="1:20">
      <c r="A252" s="146" t="s">
        <v>588</v>
      </c>
      <c r="B252" s="147" t="s">
        <v>81</v>
      </c>
      <c r="C252" s="297" t="s">
        <v>631</v>
      </c>
      <c r="D252" s="148" t="s">
        <v>170</v>
      </c>
      <c r="E252" s="148" t="s">
        <v>131</v>
      </c>
      <c r="F252" s="148"/>
      <c r="G252" s="148" t="s">
        <v>171</v>
      </c>
      <c r="H252" s="149" t="s">
        <v>172</v>
      </c>
      <c r="I252" s="148"/>
      <c r="J252" s="148"/>
      <c r="K252" s="148"/>
      <c r="L252" s="148"/>
      <c r="M252" s="147" t="s">
        <v>146</v>
      </c>
      <c r="N252" s="148" t="str">
        <f>"ETD_T80001_"&amp;'Check list'!E7</f>
        <v>ETD_T80001_FR003WM2A001E001</v>
      </c>
      <c r="O252" s="154" t="s">
        <v>131</v>
      </c>
      <c r="P252" s="155"/>
      <c r="Q252" s="164"/>
      <c r="R252" s="165"/>
      <c r="S252" s="166"/>
      <c r="T252" s="167"/>
    </row>
    <row r="253" s="18" customFormat="1" ht="14.4" spans="1:20">
      <c r="A253" s="146" t="s">
        <v>588</v>
      </c>
      <c r="B253" s="147" t="s">
        <v>81</v>
      </c>
      <c r="C253" s="297" t="s">
        <v>632</v>
      </c>
      <c r="D253" s="148" t="s">
        <v>633</v>
      </c>
      <c r="E253" s="148" t="s">
        <v>131</v>
      </c>
      <c r="F253" s="148"/>
      <c r="G253" s="148" t="str">
        <f>'Check list'!G31</f>
        <v>IP3000@EF041A-150</v>
      </c>
      <c r="H253" s="149" t="s">
        <v>175</v>
      </c>
      <c r="I253" s="148"/>
      <c r="J253" s="148" t="str">
        <f>'Check list'!$D$5&amp;"_140"</f>
        <v>EF041A_140</v>
      </c>
      <c r="K253" s="148"/>
      <c r="L253" s="148"/>
      <c r="M253" s="147" t="s">
        <v>146</v>
      </c>
      <c r="N253" s="148" t="str">
        <f>"ETD_T80002_"&amp;'Check list'!E7</f>
        <v>ETD_T80002_FR003WM2A001E001</v>
      </c>
      <c r="O253" s="154" t="s">
        <v>152</v>
      </c>
      <c r="P253" s="155">
        <v>295020</v>
      </c>
      <c r="Q253" s="164"/>
      <c r="R253" s="165"/>
      <c r="S253" s="166"/>
      <c r="T253" s="167"/>
    </row>
    <row r="254" s="18" customFormat="1" ht="14.4" spans="1:20">
      <c r="A254" s="146" t="s">
        <v>588</v>
      </c>
      <c r="B254" s="147" t="s">
        <v>81</v>
      </c>
      <c r="C254" s="297" t="s">
        <v>634</v>
      </c>
      <c r="D254" s="148" t="s">
        <v>635</v>
      </c>
      <c r="E254" s="148" t="s">
        <v>131</v>
      </c>
      <c r="F254" s="148"/>
      <c r="G254" s="148" t="str">
        <f>'Check list'!$D$5&amp;"/"&amp;'Check list'!$D$5&amp;"_T8_PH_B"</f>
        <v>EF041A/EF041A_T8_PH_B</v>
      </c>
      <c r="H254" s="149" t="s">
        <v>178</v>
      </c>
      <c r="I254" s="148"/>
      <c r="J254" s="148"/>
      <c r="K254" s="148"/>
      <c r="L254" s="148" t="s">
        <v>636</v>
      </c>
      <c r="M254" s="147"/>
      <c r="N254" s="148"/>
      <c r="O254" s="154" t="s">
        <v>243</v>
      </c>
      <c r="P254" s="155">
        <v>295020</v>
      </c>
      <c r="Q254" s="164"/>
      <c r="R254" s="165"/>
      <c r="S254" s="166"/>
      <c r="T254" s="167"/>
    </row>
    <row r="255" s="18" customFormat="1" ht="14.4" spans="1:20">
      <c r="A255" s="146" t="s">
        <v>588</v>
      </c>
      <c r="B255" s="147" t="s">
        <v>81</v>
      </c>
      <c r="C255" s="297" t="s">
        <v>637</v>
      </c>
      <c r="D255" s="148" t="s">
        <v>248</v>
      </c>
      <c r="E255" s="148" t="s">
        <v>131</v>
      </c>
      <c r="F255" s="148"/>
      <c r="G255" s="148" t="str">
        <f>"OVL"&amp;'Check list'!$D$5&amp;"-140"</f>
        <v>OVLEF041A-140</v>
      </c>
      <c r="H255" s="149" t="s">
        <v>249</v>
      </c>
      <c r="I255" s="148"/>
      <c r="J255" s="148"/>
      <c r="K255" s="148"/>
      <c r="L255" s="148" t="s">
        <v>638</v>
      </c>
      <c r="M255" s="147"/>
      <c r="N255" s="148"/>
      <c r="O255" s="154" t="s">
        <v>243</v>
      </c>
      <c r="P255" s="155">
        <v>295020</v>
      </c>
      <c r="Q255" s="164"/>
      <c r="R255" s="165"/>
      <c r="S255" s="166"/>
      <c r="T255" s="167"/>
    </row>
    <row r="256" s="18" customFormat="1" ht="14.4" spans="1:20">
      <c r="A256" s="146" t="s">
        <v>588</v>
      </c>
      <c r="B256" s="147" t="s">
        <v>81</v>
      </c>
      <c r="C256" s="297" t="s">
        <v>639</v>
      </c>
      <c r="D256" s="148" t="s">
        <v>185</v>
      </c>
      <c r="E256" s="148"/>
      <c r="F256" s="148"/>
      <c r="G256" s="148" t="s">
        <v>132</v>
      </c>
      <c r="H256" s="149" t="s">
        <v>186</v>
      </c>
      <c r="I256" s="148"/>
      <c r="J256" s="148"/>
      <c r="K256" s="148"/>
      <c r="L256" s="148" t="s">
        <v>131</v>
      </c>
      <c r="M256" s="147"/>
      <c r="N256" s="148"/>
      <c r="O256" s="154" t="s">
        <v>243</v>
      </c>
      <c r="P256" s="155">
        <v>295020</v>
      </c>
      <c r="Q256" s="164"/>
      <c r="R256" s="165"/>
      <c r="S256" s="166"/>
      <c r="T256" s="167"/>
    </row>
    <row r="257" s="18" customFormat="1" ht="14.4" spans="1:20">
      <c r="A257" s="146" t="s">
        <v>588</v>
      </c>
      <c r="B257" s="147" t="s">
        <v>81</v>
      </c>
      <c r="C257" s="297" t="s">
        <v>640</v>
      </c>
      <c r="D257" s="148" t="s">
        <v>641</v>
      </c>
      <c r="E257" s="148" t="s">
        <v>642</v>
      </c>
      <c r="F257" s="148"/>
      <c r="G257" s="148" t="str">
        <f>'Check list'!I31</f>
        <v>TRM-MO280N-A</v>
      </c>
      <c r="H257" s="149" t="s">
        <v>414</v>
      </c>
      <c r="I257" s="148"/>
      <c r="J257" s="148"/>
      <c r="K257" s="148"/>
      <c r="L257" s="148" t="s">
        <v>131</v>
      </c>
      <c r="M257" s="147" t="s">
        <v>189</v>
      </c>
      <c r="N257" s="148" t="str">
        <f>"ETD_T80003_"&amp;'Check list'!E7</f>
        <v>ETD_T80003_FR003WM2A001E001</v>
      </c>
      <c r="O257" s="154"/>
      <c r="P257" s="155"/>
      <c r="Q257" s="164"/>
      <c r="R257" s="165"/>
      <c r="S257" s="166"/>
      <c r="T257" s="167"/>
    </row>
    <row r="258" s="18" customFormat="1" ht="14.4" spans="1:20">
      <c r="A258" s="146" t="s">
        <v>588</v>
      </c>
      <c r="B258" s="147" t="s">
        <v>81</v>
      </c>
      <c r="C258" s="297" t="s">
        <v>643</v>
      </c>
      <c r="D258" s="148" t="s">
        <v>196</v>
      </c>
      <c r="E258" s="148" t="s">
        <v>131</v>
      </c>
      <c r="F258" s="148"/>
      <c r="G258" s="148" t="s">
        <v>197</v>
      </c>
      <c r="H258" s="149" t="s">
        <v>198</v>
      </c>
      <c r="I258" s="148"/>
      <c r="J258" s="148"/>
      <c r="K258" s="148"/>
      <c r="L258" s="148" t="s">
        <v>131</v>
      </c>
      <c r="M258" s="147" t="s">
        <v>189</v>
      </c>
      <c r="N258" s="148" t="str">
        <f>"ETD_T80004_"&amp;'Check list'!E7</f>
        <v>ETD_T80004_FR003WM2A001E001</v>
      </c>
      <c r="O258" s="154" t="s">
        <v>131</v>
      </c>
      <c r="P258" s="155"/>
      <c r="Q258" s="164"/>
      <c r="R258" s="165"/>
      <c r="S258" s="166"/>
      <c r="T258" s="167"/>
    </row>
    <row r="259" s="18" customFormat="1" ht="14.4" spans="1:20">
      <c r="A259" s="146" t="s">
        <v>588</v>
      </c>
      <c r="B259" s="147" t="s">
        <v>81</v>
      </c>
      <c r="C259" s="297" t="s">
        <v>644</v>
      </c>
      <c r="D259" s="148" t="s">
        <v>191</v>
      </c>
      <c r="E259" s="148" t="s">
        <v>131</v>
      </c>
      <c r="F259" s="148"/>
      <c r="G259" s="148" t="s">
        <v>258</v>
      </c>
      <c r="H259" s="149" t="s">
        <v>193</v>
      </c>
      <c r="I259" s="148"/>
      <c r="J259" s="148"/>
      <c r="K259" s="148"/>
      <c r="L259" s="148" t="s">
        <v>131</v>
      </c>
      <c r="M259" s="147" t="s">
        <v>189</v>
      </c>
      <c r="N259" s="148" t="str">
        <f>"ETD_T80005_"&amp;'Check list'!E7</f>
        <v>ETD_T80005_FR003WM2A001E001</v>
      </c>
      <c r="O259" s="154" t="s">
        <v>131</v>
      </c>
      <c r="P259" s="155"/>
      <c r="Q259" s="164"/>
      <c r="R259" s="165"/>
      <c r="S259" s="166"/>
      <c r="T259" s="167"/>
    </row>
    <row r="260" s="18" customFormat="1" ht="14.4" spans="1:20">
      <c r="A260" s="146" t="s">
        <v>588</v>
      </c>
      <c r="B260" s="147" t="s">
        <v>81</v>
      </c>
      <c r="C260" s="297" t="s">
        <v>645</v>
      </c>
      <c r="D260" s="148" t="s">
        <v>170</v>
      </c>
      <c r="E260" s="148"/>
      <c r="F260" s="148"/>
      <c r="G260" s="148" t="s">
        <v>171</v>
      </c>
      <c r="H260" s="149" t="s">
        <v>172</v>
      </c>
      <c r="I260" s="148"/>
      <c r="J260" s="148"/>
      <c r="K260" s="148"/>
      <c r="L260" s="148" t="s">
        <v>131</v>
      </c>
      <c r="M260" s="147"/>
      <c r="N260" s="148"/>
      <c r="O260" s="154" t="s">
        <v>131</v>
      </c>
      <c r="P260" s="155"/>
      <c r="Q260" s="164"/>
      <c r="R260" s="165"/>
      <c r="S260" s="166"/>
      <c r="T260" s="167"/>
    </row>
    <row r="261" s="18" customFormat="1" ht="14.4" spans="1:20">
      <c r="A261" s="146" t="s">
        <v>588</v>
      </c>
      <c r="B261" s="147" t="s">
        <v>81</v>
      </c>
      <c r="C261" s="297" t="s">
        <v>646</v>
      </c>
      <c r="D261" s="148" t="s">
        <v>647</v>
      </c>
      <c r="E261" s="148" t="s">
        <v>131</v>
      </c>
      <c r="F261" s="148"/>
      <c r="G261" s="148" t="str">
        <f>"MTH-"&amp;'Check list'!$D$5&amp;"T8"</f>
        <v>MTH-EF041AT8</v>
      </c>
      <c r="H261" s="149" t="s">
        <v>235</v>
      </c>
      <c r="I261" s="148"/>
      <c r="J261" s="148"/>
      <c r="K261" s="148"/>
      <c r="L261" s="148" t="s">
        <v>648</v>
      </c>
      <c r="M261" s="147"/>
      <c r="N261" s="148"/>
      <c r="O261" s="154" t="s">
        <v>649</v>
      </c>
      <c r="P261" s="155">
        <v>295140</v>
      </c>
      <c r="Q261" s="164"/>
      <c r="R261" s="165"/>
      <c r="S261" s="166"/>
      <c r="T261" s="167"/>
    </row>
    <row r="262" s="18" customFormat="1" ht="14.4" spans="1:20">
      <c r="A262" s="146" t="s">
        <v>588</v>
      </c>
      <c r="B262" s="147" t="s">
        <v>81</v>
      </c>
      <c r="C262" s="297" t="s">
        <v>650</v>
      </c>
      <c r="D262" s="148" t="s">
        <v>212</v>
      </c>
      <c r="E262" s="148" t="s">
        <v>131</v>
      </c>
      <c r="F262" s="148"/>
      <c r="G262" s="148" t="s">
        <v>132</v>
      </c>
      <c r="H262" s="149" t="s">
        <v>186</v>
      </c>
      <c r="I262" s="148"/>
      <c r="J262" s="148"/>
      <c r="K262" s="148"/>
      <c r="L262" s="148"/>
      <c r="M262" s="147"/>
      <c r="N262" s="148"/>
      <c r="O262" s="154" t="s">
        <v>649</v>
      </c>
      <c r="P262" s="155">
        <v>295140</v>
      </c>
      <c r="Q262" s="164"/>
      <c r="R262" s="165"/>
      <c r="S262" s="166"/>
      <c r="T262" s="167"/>
    </row>
    <row r="263" s="18" customFormat="1" ht="14.4" spans="1:20">
      <c r="A263" s="146" t="s">
        <v>588</v>
      </c>
      <c r="B263" s="147" t="s">
        <v>81</v>
      </c>
      <c r="C263" s="297" t="s">
        <v>651</v>
      </c>
      <c r="D263" s="148" t="s">
        <v>214</v>
      </c>
      <c r="E263" s="148" t="s">
        <v>131</v>
      </c>
      <c r="F263" s="148"/>
      <c r="G263" s="148" t="s">
        <v>132</v>
      </c>
      <c r="H263" s="149" t="s">
        <v>215</v>
      </c>
      <c r="I263" s="148"/>
      <c r="J263" s="148"/>
      <c r="K263" s="148"/>
      <c r="L263" s="148"/>
      <c r="M263" s="147"/>
      <c r="N263" s="148"/>
      <c r="O263" s="154" t="s">
        <v>216</v>
      </c>
      <c r="P263" s="155">
        <v>295260</v>
      </c>
      <c r="Q263" s="164"/>
      <c r="R263" s="165"/>
      <c r="S263" s="166"/>
      <c r="T263" s="167"/>
    </row>
    <row r="264" s="11" customFormat="1" ht="14.4" spans="1:20">
      <c r="A264" s="50" t="str">
        <f t="shared" ref="A264:A270" si="15">$E$3</f>
        <v>FR003WM2A001E001</v>
      </c>
      <c r="B264" s="51" t="s">
        <v>83</v>
      </c>
      <c r="C264" s="288" t="s">
        <v>652</v>
      </c>
      <c r="D264" s="52" t="s">
        <v>170</v>
      </c>
      <c r="E264" s="52" t="s">
        <v>131</v>
      </c>
      <c r="F264" s="52" t="s">
        <v>131</v>
      </c>
      <c r="G264" s="52" t="s">
        <v>171</v>
      </c>
      <c r="H264" s="53" t="s">
        <v>172</v>
      </c>
      <c r="I264" s="52" t="s">
        <v>131</v>
      </c>
      <c r="J264" s="52" t="s">
        <v>131</v>
      </c>
      <c r="K264" s="52" t="s">
        <v>131</v>
      </c>
      <c r="L264" s="52" t="s">
        <v>131</v>
      </c>
      <c r="M264" s="51" t="s">
        <v>146</v>
      </c>
      <c r="N264" s="52" t="str">
        <f>"ETD_M10002_"&amp;'Check list'!E7</f>
        <v>ETD_M10002_FR003WM2A001E001</v>
      </c>
      <c r="O264" s="79" t="s">
        <v>131</v>
      </c>
      <c r="P264" s="80"/>
      <c r="Q264" s="100" t="s">
        <v>131</v>
      </c>
      <c r="R264" s="101" t="s">
        <v>131</v>
      </c>
      <c r="S264" s="102" t="s">
        <v>131</v>
      </c>
      <c r="T264" s="103" t="s">
        <v>131</v>
      </c>
    </row>
    <row r="265" s="11" customFormat="1" ht="14.4" spans="1:20">
      <c r="A265" s="50" t="str">
        <f t="shared" si="15"/>
        <v>FR003WM2A001E001</v>
      </c>
      <c r="B265" s="51" t="s">
        <v>83</v>
      </c>
      <c r="C265" s="288" t="s">
        <v>653</v>
      </c>
      <c r="D265" s="52" t="s">
        <v>654</v>
      </c>
      <c r="E265" s="52" t="s">
        <v>131</v>
      </c>
      <c r="F265" s="52" t="s">
        <v>131</v>
      </c>
      <c r="G265" s="52" t="str">
        <f>'Check list'!G32</f>
        <v>IP3000@EF041A-126</v>
      </c>
      <c r="H265" s="53" t="s">
        <v>175</v>
      </c>
      <c r="I265" s="52" t="s">
        <v>131</v>
      </c>
      <c r="J265" s="52" t="str">
        <f>'Check list'!$D$5&amp;"_126"</f>
        <v>EF041A_126</v>
      </c>
      <c r="K265" s="52" t="s">
        <v>131</v>
      </c>
      <c r="L265" s="52" t="s">
        <v>131</v>
      </c>
      <c r="M265" s="51" t="s">
        <v>146</v>
      </c>
      <c r="N265" s="52" t="str">
        <f>"ETD_"&amp;'Check list'!E7</f>
        <v>ETD_FR003WM2A001E001</v>
      </c>
      <c r="O265" s="79" t="s">
        <v>152</v>
      </c>
      <c r="P265" s="80">
        <v>300020</v>
      </c>
      <c r="Q265" s="100" t="s">
        <v>131</v>
      </c>
      <c r="R265" s="101" t="s">
        <v>131</v>
      </c>
      <c r="S265" s="102" t="s">
        <v>131</v>
      </c>
      <c r="T265" s="103" t="s">
        <v>131</v>
      </c>
    </row>
    <row r="266" s="11" customFormat="1" ht="14.4" spans="1:20">
      <c r="A266" s="50" t="str">
        <f t="shared" si="15"/>
        <v>FR003WM2A001E001</v>
      </c>
      <c r="B266" s="51" t="s">
        <v>83</v>
      </c>
      <c r="C266" s="288" t="s">
        <v>655</v>
      </c>
      <c r="D266" s="52" t="s">
        <v>656</v>
      </c>
      <c r="E266" s="52" t="s">
        <v>131</v>
      </c>
      <c r="F266" s="52" t="s">
        <v>131</v>
      </c>
      <c r="G266" s="52" t="str">
        <f>'Check list'!$D$5&amp;"/"&amp;'Check list'!$D$5&amp;"_M1_PH_B"</f>
        <v>EF041A/EF041A_M1_PH_B</v>
      </c>
      <c r="H266" s="53" t="s">
        <v>178</v>
      </c>
      <c r="I266" s="52" t="s">
        <v>131</v>
      </c>
      <c r="J266" s="52" t="s">
        <v>131</v>
      </c>
      <c r="K266" s="52" t="s">
        <v>131</v>
      </c>
      <c r="L266" s="52" t="s">
        <v>657</v>
      </c>
      <c r="M266" s="51"/>
      <c r="N266" s="52" t="s">
        <v>131</v>
      </c>
      <c r="O266" s="79" t="s">
        <v>243</v>
      </c>
      <c r="P266" s="80">
        <v>300020</v>
      </c>
      <c r="Q266" s="100" t="s">
        <v>131</v>
      </c>
      <c r="R266" s="101" t="s">
        <v>131</v>
      </c>
      <c r="S266" s="102" t="s">
        <v>131</v>
      </c>
      <c r="T266" s="103" t="s">
        <v>131</v>
      </c>
    </row>
    <row r="267" s="11" customFormat="1" ht="14.4" spans="1:20">
      <c r="A267" s="50" t="str">
        <f t="shared" si="15"/>
        <v>FR003WM2A001E001</v>
      </c>
      <c r="B267" s="51" t="s">
        <v>83</v>
      </c>
      <c r="C267" s="288" t="s">
        <v>658</v>
      </c>
      <c r="D267" s="52" t="s">
        <v>248</v>
      </c>
      <c r="E267" s="52" t="s">
        <v>131</v>
      </c>
      <c r="F267" s="52" t="s">
        <v>131</v>
      </c>
      <c r="G267" s="52" t="str">
        <f>"OVL"&amp;'Check list'!$D$5&amp;"-126"</f>
        <v>OVLEF041A-126</v>
      </c>
      <c r="H267" s="53" t="s">
        <v>249</v>
      </c>
      <c r="I267" s="52" t="s">
        <v>131</v>
      </c>
      <c r="J267" s="52" t="s">
        <v>131</v>
      </c>
      <c r="K267" s="52" t="s">
        <v>131</v>
      </c>
      <c r="L267" s="52" t="s">
        <v>659</v>
      </c>
      <c r="M267" s="51"/>
      <c r="N267" s="52" t="s">
        <v>131</v>
      </c>
      <c r="O267" s="79" t="s">
        <v>243</v>
      </c>
      <c r="P267" s="80">
        <v>300020</v>
      </c>
      <c r="Q267" s="100" t="s">
        <v>131</v>
      </c>
      <c r="R267" s="101" t="s">
        <v>131</v>
      </c>
      <c r="S267" s="102" t="s">
        <v>131</v>
      </c>
      <c r="T267" s="103" t="s">
        <v>131</v>
      </c>
    </row>
    <row r="268" s="11" customFormat="1" ht="14.4" spans="1:20">
      <c r="A268" s="50" t="str">
        <f t="shared" si="15"/>
        <v>FR003WM2A001E001</v>
      </c>
      <c r="B268" s="51" t="s">
        <v>83</v>
      </c>
      <c r="C268" s="288" t="s">
        <v>660</v>
      </c>
      <c r="D268" s="52" t="s">
        <v>185</v>
      </c>
      <c r="E268" s="52" t="s">
        <v>131</v>
      </c>
      <c r="F268" s="52" t="s">
        <v>131</v>
      </c>
      <c r="G268" s="52" t="s">
        <v>132</v>
      </c>
      <c r="H268" s="53" t="s">
        <v>186</v>
      </c>
      <c r="I268" s="52" t="s">
        <v>131</v>
      </c>
      <c r="J268" s="52" t="s">
        <v>131</v>
      </c>
      <c r="K268" s="52" t="s">
        <v>131</v>
      </c>
      <c r="L268" s="52" t="s">
        <v>131</v>
      </c>
      <c r="M268" s="51"/>
      <c r="N268" s="52" t="s">
        <v>131</v>
      </c>
      <c r="O268" s="79" t="s">
        <v>243</v>
      </c>
      <c r="P268" s="80">
        <v>300020</v>
      </c>
      <c r="Q268" s="100" t="s">
        <v>131</v>
      </c>
      <c r="R268" s="101" t="s">
        <v>131</v>
      </c>
      <c r="S268" s="102" t="s">
        <v>131</v>
      </c>
      <c r="T268" s="103" t="s">
        <v>131</v>
      </c>
    </row>
    <row r="269" s="11" customFormat="1" ht="14.4" spans="1:20">
      <c r="A269" s="50" t="str">
        <f t="shared" si="15"/>
        <v>FR003WM2A001E001</v>
      </c>
      <c r="B269" s="51" t="s">
        <v>83</v>
      </c>
      <c r="C269" s="288" t="s">
        <v>661</v>
      </c>
      <c r="D269" s="52" t="s">
        <v>662</v>
      </c>
      <c r="E269" s="52" t="str">
        <f>"ETCH M1 Mo "&amp;'Check list'!D32&amp;"nm"</f>
        <v>ETCH M1 Mo 368nm</v>
      </c>
      <c r="F269" s="52" t="s">
        <v>131</v>
      </c>
      <c r="G269" s="52" t="str">
        <f>'Check list'!I32</f>
        <v>ICP-M1MO368N</v>
      </c>
      <c r="H269" s="53" t="s">
        <v>254</v>
      </c>
      <c r="I269" s="52" t="s">
        <v>131</v>
      </c>
      <c r="J269" s="52" t="s">
        <v>131</v>
      </c>
      <c r="K269" s="52" t="s">
        <v>131</v>
      </c>
      <c r="L269" s="52" t="s">
        <v>131</v>
      </c>
      <c r="M269" s="51"/>
      <c r="N269" s="52" t="s">
        <v>131</v>
      </c>
      <c r="O269" s="79"/>
      <c r="P269" s="80"/>
      <c r="Q269" s="100" t="s">
        <v>131</v>
      </c>
      <c r="R269" s="101" t="s">
        <v>131</v>
      </c>
      <c r="S269" s="102" t="s">
        <v>131</v>
      </c>
      <c r="T269" s="103" t="s">
        <v>131</v>
      </c>
    </row>
    <row r="270" s="11" customFormat="1" ht="14.4" spans="1:20">
      <c r="A270" s="50" t="str">
        <f t="shared" si="15"/>
        <v>FR003WM2A001E001</v>
      </c>
      <c r="B270" s="51" t="s">
        <v>83</v>
      </c>
      <c r="C270" s="288" t="s">
        <v>663</v>
      </c>
      <c r="D270" s="52" t="s">
        <v>664</v>
      </c>
      <c r="E270" s="52" t="str">
        <f>"ETCH M1 Mo "&amp;'Check list'!D32&amp;"nm"</f>
        <v>ETCH M1 Mo 368nm</v>
      </c>
      <c r="F270" s="52" t="s">
        <v>131</v>
      </c>
      <c r="G270" s="52" t="str">
        <f>'Check list'!I33</f>
        <v>删除</v>
      </c>
      <c r="H270" s="53" t="s">
        <v>254</v>
      </c>
      <c r="I270" s="52" t="s">
        <v>131</v>
      </c>
      <c r="J270" s="52" t="s">
        <v>131</v>
      </c>
      <c r="K270" s="52" t="s">
        <v>131</v>
      </c>
      <c r="L270" s="52" t="s">
        <v>131</v>
      </c>
      <c r="M270" s="51" t="s">
        <v>189</v>
      </c>
      <c r="N270" s="52" t="str">
        <f>"ETD_M10004_"&amp;'Check list'!E7</f>
        <v>ETD_M10004_FR003WM2A001E001</v>
      </c>
      <c r="O270" s="79"/>
      <c r="P270" s="80"/>
      <c r="Q270" s="100" t="s">
        <v>131</v>
      </c>
      <c r="R270" s="101" t="s">
        <v>131</v>
      </c>
      <c r="S270" s="102" t="s">
        <v>131</v>
      </c>
      <c r="T270" s="103" t="s">
        <v>131</v>
      </c>
    </row>
    <row r="271" s="11" customFormat="1" ht="14.4" spans="1:20">
      <c r="A271" s="50" t="str">
        <f t="shared" ref="A271:A280" si="16">$E$3</f>
        <v>FR003WM2A001E001</v>
      </c>
      <c r="B271" s="51" t="s">
        <v>83</v>
      </c>
      <c r="C271" s="288" t="s">
        <v>665</v>
      </c>
      <c r="D271" s="52" t="s">
        <v>196</v>
      </c>
      <c r="E271" s="52" t="s">
        <v>131</v>
      </c>
      <c r="F271" s="52" t="s">
        <v>131</v>
      </c>
      <c r="G271" s="52" t="s">
        <v>197</v>
      </c>
      <c r="H271" s="53" t="s">
        <v>198</v>
      </c>
      <c r="I271" s="52" t="s">
        <v>131</v>
      </c>
      <c r="J271" s="52" t="s">
        <v>131</v>
      </c>
      <c r="K271" s="52" t="s">
        <v>131</v>
      </c>
      <c r="L271" s="52" t="s">
        <v>131</v>
      </c>
      <c r="M271" s="51" t="s">
        <v>189</v>
      </c>
      <c r="N271" s="52" t="str">
        <f>"ETD_M10005_"&amp;'Check list'!E7</f>
        <v>ETD_M10005_FR003WM2A001E001</v>
      </c>
      <c r="O271" s="79" t="s">
        <v>666</v>
      </c>
      <c r="P271" s="80">
        <v>300160</v>
      </c>
      <c r="Q271" s="100" t="s">
        <v>131</v>
      </c>
      <c r="R271" s="101" t="s">
        <v>131</v>
      </c>
      <c r="S271" s="102" t="s">
        <v>131</v>
      </c>
      <c r="T271" s="103" t="s">
        <v>131</v>
      </c>
    </row>
    <row r="272" s="11" customFormat="1" ht="14.4" spans="1:20">
      <c r="A272" s="50" t="str">
        <f t="shared" si="16"/>
        <v>FR003WM2A001E001</v>
      </c>
      <c r="B272" s="51" t="s">
        <v>83</v>
      </c>
      <c r="C272" s="288" t="s">
        <v>667</v>
      </c>
      <c r="D272" s="52" t="s">
        <v>191</v>
      </c>
      <c r="E272" s="52" t="s">
        <v>131</v>
      </c>
      <c r="F272" s="52" t="s">
        <v>131</v>
      </c>
      <c r="G272" s="52" t="s">
        <v>258</v>
      </c>
      <c r="H272" s="53" t="s">
        <v>193</v>
      </c>
      <c r="I272" s="52" t="s">
        <v>131</v>
      </c>
      <c r="J272" s="52" t="s">
        <v>131</v>
      </c>
      <c r="K272" s="52" t="s">
        <v>131</v>
      </c>
      <c r="L272" s="52" t="s">
        <v>131</v>
      </c>
      <c r="M272" s="51" t="s">
        <v>189</v>
      </c>
      <c r="N272" s="52" t="str">
        <f>"ETD_M10006_"&amp;'Check list'!E7</f>
        <v>ETD_M10006_FR003WM2A001E001</v>
      </c>
      <c r="O272" s="79" t="s">
        <v>131</v>
      </c>
      <c r="P272" s="80"/>
      <c r="Q272" s="100" t="s">
        <v>131</v>
      </c>
      <c r="R272" s="101" t="s">
        <v>131</v>
      </c>
      <c r="S272" s="102" t="s">
        <v>131</v>
      </c>
      <c r="T272" s="103" t="s">
        <v>131</v>
      </c>
    </row>
    <row r="273" s="11" customFormat="1" ht="14.4" spans="1:20">
      <c r="A273" s="50" t="str">
        <f t="shared" si="16"/>
        <v>FR003WM2A001E001</v>
      </c>
      <c r="B273" s="51" t="s">
        <v>83</v>
      </c>
      <c r="C273" s="288" t="s">
        <v>668</v>
      </c>
      <c r="D273" s="52" t="s">
        <v>170</v>
      </c>
      <c r="E273" s="52" t="s">
        <v>131</v>
      </c>
      <c r="F273" s="52" t="s">
        <v>131</v>
      </c>
      <c r="G273" s="52" t="s">
        <v>171</v>
      </c>
      <c r="H273" s="53" t="s">
        <v>172</v>
      </c>
      <c r="I273" s="52" t="s">
        <v>131</v>
      </c>
      <c r="J273" s="52" t="s">
        <v>131</v>
      </c>
      <c r="K273" s="52" t="s">
        <v>131</v>
      </c>
      <c r="L273" s="52" t="s">
        <v>131</v>
      </c>
      <c r="M273" s="51"/>
      <c r="N273" s="52" t="s">
        <v>131</v>
      </c>
      <c r="O273" s="79" t="s">
        <v>131</v>
      </c>
      <c r="P273" s="80"/>
      <c r="Q273" s="100" t="s">
        <v>131</v>
      </c>
      <c r="R273" s="101" t="s">
        <v>131</v>
      </c>
      <c r="S273" s="102" t="s">
        <v>131</v>
      </c>
      <c r="T273" s="103" t="s">
        <v>131</v>
      </c>
    </row>
    <row r="274" s="11" customFormat="1" ht="14.4" spans="1:20">
      <c r="A274" s="50" t="str">
        <f t="shared" si="16"/>
        <v>FR003WM2A001E001</v>
      </c>
      <c r="B274" s="51" t="s">
        <v>83</v>
      </c>
      <c r="C274" s="288" t="s">
        <v>669</v>
      </c>
      <c r="D274" s="52" t="s">
        <v>670</v>
      </c>
      <c r="E274" s="52" t="s">
        <v>131</v>
      </c>
      <c r="F274" s="52" t="s">
        <v>131</v>
      </c>
      <c r="G274" s="52" t="str">
        <f>"PRF-"&amp;'Check list'!$D$5&amp;"M2"</f>
        <v>PRF-EF041AM2</v>
      </c>
      <c r="H274" s="53" t="s">
        <v>201</v>
      </c>
      <c r="I274" s="52" t="s">
        <v>131</v>
      </c>
      <c r="J274" s="52" t="s">
        <v>131</v>
      </c>
      <c r="K274" s="52" t="s">
        <v>131</v>
      </c>
      <c r="L274" s="52" t="s">
        <v>671</v>
      </c>
      <c r="M274" s="51"/>
      <c r="N274" s="52" t="s">
        <v>131</v>
      </c>
      <c r="O274" s="79" t="s">
        <v>672</v>
      </c>
      <c r="P274" s="80">
        <v>300160</v>
      </c>
      <c r="Q274" s="100" t="s">
        <v>131</v>
      </c>
      <c r="R274" s="101" t="s">
        <v>131</v>
      </c>
      <c r="S274" s="102" t="s">
        <v>131</v>
      </c>
      <c r="T274" s="103" t="s">
        <v>131</v>
      </c>
    </row>
    <row r="275" s="11" customFormat="1" ht="14.4" spans="1:20">
      <c r="A275" s="50" t="str">
        <f t="shared" si="16"/>
        <v>FR003WM2A001E001</v>
      </c>
      <c r="B275" s="51" t="s">
        <v>83</v>
      </c>
      <c r="C275" s="288" t="s">
        <v>673</v>
      </c>
      <c r="D275" s="52" t="s">
        <v>674</v>
      </c>
      <c r="E275" s="52" t="s">
        <v>131</v>
      </c>
      <c r="F275" s="52" t="s">
        <v>131</v>
      </c>
      <c r="G275" s="52" t="str">
        <f>"PRF-"&amp;'Check list'!$D$5&amp;"M1"</f>
        <v>PRF-EF041AM1</v>
      </c>
      <c r="H275" s="53" t="s">
        <v>201</v>
      </c>
      <c r="I275" s="52" t="s">
        <v>131</v>
      </c>
      <c r="J275" s="52" t="s">
        <v>131</v>
      </c>
      <c r="K275" s="52" t="s">
        <v>131</v>
      </c>
      <c r="L275" s="52" t="s">
        <v>675</v>
      </c>
      <c r="M275" s="51"/>
      <c r="N275" s="52" t="s">
        <v>131</v>
      </c>
      <c r="O275" s="79" t="s">
        <v>672</v>
      </c>
      <c r="P275" s="80">
        <v>300160</v>
      </c>
      <c r="Q275" s="100" t="s">
        <v>131</v>
      </c>
      <c r="R275" s="101" t="s">
        <v>131</v>
      </c>
      <c r="S275" s="102" t="s">
        <v>131</v>
      </c>
      <c r="T275" s="103" t="s">
        <v>131</v>
      </c>
    </row>
    <row r="276" s="11" customFormat="1" ht="14.4" spans="1:20">
      <c r="A276" s="50" t="str">
        <f t="shared" si="16"/>
        <v>FR003WM2A001E001</v>
      </c>
      <c r="B276" s="51" t="s">
        <v>83</v>
      </c>
      <c r="C276" s="288" t="s">
        <v>676</v>
      </c>
      <c r="D276" s="52" t="s">
        <v>677</v>
      </c>
      <c r="E276" s="52" t="s">
        <v>131</v>
      </c>
      <c r="F276" s="52" t="s">
        <v>131</v>
      </c>
      <c r="G276" s="52" t="str">
        <f>'Check list'!$D$5&amp;"/"&amp;'Check list'!$D$5&amp;"_M1_ET_B"</f>
        <v>EF041A/EF041A_M1_ET_B</v>
      </c>
      <c r="H276" s="53" t="s">
        <v>178</v>
      </c>
      <c r="I276" s="52" t="s">
        <v>131</v>
      </c>
      <c r="J276" s="52" t="s">
        <v>131</v>
      </c>
      <c r="K276" s="52" t="s">
        <v>131</v>
      </c>
      <c r="L276" s="52" t="s">
        <v>678</v>
      </c>
      <c r="M276" s="51"/>
      <c r="N276" s="52" t="s">
        <v>131</v>
      </c>
      <c r="O276" s="79" t="s">
        <v>672</v>
      </c>
      <c r="P276" s="80">
        <v>300160</v>
      </c>
      <c r="Q276" s="100" t="s">
        <v>131</v>
      </c>
      <c r="R276" s="101" t="s">
        <v>131</v>
      </c>
      <c r="S276" s="102" t="s">
        <v>131</v>
      </c>
      <c r="T276" s="103" t="s">
        <v>131</v>
      </c>
    </row>
    <row r="277" s="11" customFormat="1" ht="14.4" spans="1:20">
      <c r="A277" s="50" t="str">
        <f t="shared" si="16"/>
        <v>FR003WM2A001E001</v>
      </c>
      <c r="B277" s="51" t="s">
        <v>83</v>
      </c>
      <c r="C277" s="288" t="s">
        <v>679</v>
      </c>
      <c r="D277" s="52" t="s">
        <v>212</v>
      </c>
      <c r="E277" s="52" t="s">
        <v>131</v>
      </c>
      <c r="F277" s="52" t="s">
        <v>131</v>
      </c>
      <c r="G277" s="52" t="s">
        <v>132</v>
      </c>
      <c r="H277" s="53" t="s">
        <v>186</v>
      </c>
      <c r="I277" s="52" t="s">
        <v>131</v>
      </c>
      <c r="J277" s="52" t="s">
        <v>131</v>
      </c>
      <c r="K277" s="52" t="s">
        <v>131</v>
      </c>
      <c r="L277" s="52" t="s">
        <v>131</v>
      </c>
      <c r="M277" s="51"/>
      <c r="N277" s="52" t="s">
        <v>131</v>
      </c>
      <c r="O277" s="79" t="s">
        <v>672</v>
      </c>
      <c r="P277" s="80">
        <v>300160</v>
      </c>
      <c r="Q277" s="100" t="s">
        <v>131</v>
      </c>
      <c r="R277" s="101" t="s">
        <v>131</v>
      </c>
      <c r="S277" s="102" t="s">
        <v>131</v>
      </c>
      <c r="T277" s="103" t="s">
        <v>131</v>
      </c>
    </row>
    <row r="278" s="11" customFormat="1" ht="14.4" spans="1:20">
      <c r="A278" s="50" t="str">
        <f t="shared" si="16"/>
        <v>FR003WM2A001E001</v>
      </c>
      <c r="B278" s="51" t="s">
        <v>83</v>
      </c>
      <c r="C278" s="288" t="s">
        <v>680</v>
      </c>
      <c r="D278" s="52" t="s">
        <v>681</v>
      </c>
      <c r="E278" s="52" t="s">
        <v>131</v>
      </c>
      <c r="F278" s="52" t="s">
        <v>131</v>
      </c>
      <c r="G278" s="52" t="s">
        <v>132</v>
      </c>
      <c r="H278" s="53" t="s">
        <v>273</v>
      </c>
      <c r="I278" s="52" t="s">
        <v>131</v>
      </c>
      <c r="J278" s="52" t="s">
        <v>131</v>
      </c>
      <c r="K278" s="52" t="s">
        <v>131</v>
      </c>
      <c r="L278" s="52" t="s">
        <v>682</v>
      </c>
      <c r="M278" s="51"/>
      <c r="N278" s="52" t="s">
        <v>131</v>
      </c>
      <c r="O278" s="79" t="s">
        <v>672</v>
      </c>
      <c r="P278" s="80">
        <v>300160</v>
      </c>
      <c r="Q278" s="100" t="s">
        <v>131</v>
      </c>
      <c r="R278" s="101" t="s">
        <v>131</v>
      </c>
      <c r="S278" s="102" t="s">
        <v>131</v>
      </c>
      <c r="T278" s="103" t="s">
        <v>131</v>
      </c>
    </row>
    <row r="279" s="12" customFormat="1" ht="14.4" spans="1:20">
      <c r="A279" s="128" t="str">
        <f t="shared" si="16"/>
        <v>FR003WM2A001E001</v>
      </c>
      <c r="B279" s="129" t="s">
        <v>683</v>
      </c>
      <c r="C279" s="294" t="s">
        <v>684</v>
      </c>
      <c r="D279" s="130" t="s">
        <v>218</v>
      </c>
      <c r="E279" s="130" t="s">
        <v>131</v>
      </c>
      <c r="F279" s="130" t="s">
        <v>131</v>
      </c>
      <c r="G279" s="130" t="s">
        <v>132</v>
      </c>
      <c r="H279" s="131" t="s">
        <v>132</v>
      </c>
      <c r="I279" s="130" t="s">
        <v>131</v>
      </c>
      <c r="J279" s="130" t="s">
        <v>131</v>
      </c>
      <c r="K279" s="130" t="s">
        <v>131</v>
      </c>
      <c r="L279" s="130" t="s">
        <v>131</v>
      </c>
      <c r="M279" s="129"/>
      <c r="N279" s="130" t="s">
        <v>131</v>
      </c>
      <c r="O279" s="132" t="s">
        <v>131</v>
      </c>
      <c r="P279" s="133"/>
      <c r="Q279" s="134" t="s">
        <v>131</v>
      </c>
      <c r="R279" s="135" t="s">
        <v>131</v>
      </c>
      <c r="S279" s="136" t="s">
        <v>131</v>
      </c>
      <c r="T279" s="137" t="s">
        <v>131</v>
      </c>
    </row>
    <row r="280" s="12" customFormat="1" ht="14.4" spans="1:20">
      <c r="A280" s="128" t="str">
        <f t="shared" si="16"/>
        <v>FR003WM2A001E001</v>
      </c>
      <c r="B280" s="129" t="s">
        <v>683</v>
      </c>
      <c r="C280" s="294" t="s">
        <v>685</v>
      </c>
      <c r="D280" s="130" t="s">
        <v>170</v>
      </c>
      <c r="E280" s="130" t="s">
        <v>131</v>
      </c>
      <c r="F280" s="130" t="s">
        <v>131</v>
      </c>
      <c r="G280" s="130" t="s">
        <v>171</v>
      </c>
      <c r="H280" s="131" t="s">
        <v>172</v>
      </c>
      <c r="I280" s="130" t="s">
        <v>131</v>
      </c>
      <c r="J280" s="130" t="s">
        <v>131</v>
      </c>
      <c r="K280" s="130" t="s">
        <v>131</v>
      </c>
      <c r="L280" s="130" t="s">
        <v>131</v>
      </c>
      <c r="M280" s="129" t="s">
        <v>146</v>
      </c>
      <c r="N280" s="130" t="str">
        <f>"ETD_V20001_"&amp;'Check list'!E7</f>
        <v>ETD_V20001_FR003WM2A001E001</v>
      </c>
      <c r="O280" s="132" t="s">
        <v>131</v>
      </c>
      <c r="P280" s="133"/>
      <c r="Q280" s="134" t="s">
        <v>131</v>
      </c>
      <c r="R280" s="135" t="s">
        <v>131</v>
      </c>
      <c r="S280" s="136" t="s">
        <v>131</v>
      </c>
      <c r="T280" s="137" t="s">
        <v>131</v>
      </c>
    </row>
    <row r="281" s="12" customFormat="1" ht="14.4" spans="1:20">
      <c r="A281" s="128" t="str">
        <f t="shared" ref="A281:A290" si="17">$E$3</f>
        <v>FR003WM2A001E001</v>
      </c>
      <c r="B281" s="129" t="s">
        <v>683</v>
      </c>
      <c r="C281" s="294" t="s">
        <v>686</v>
      </c>
      <c r="D281" s="130" t="s">
        <v>687</v>
      </c>
      <c r="E281" s="130" t="str">
        <f>IF('Check list'!F10="AN","PVD V2 AlN "&amp;'Check list'!D36&amp;"nm","PVD V2 "&amp;TEXT(('Check list'!D10),"0%")&amp;" AlScN "&amp;'Check list'!D36&amp;"nm")</f>
        <v>PVD V2 AlN 300nm</v>
      </c>
      <c r="F281" s="130" t="s">
        <v>131</v>
      </c>
      <c r="G281" s="130" t="str">
        <f>'Check list'!E36</f>
        <v>PVD-V2AN300N</v>
      </c>
      <c r="H281" s="131" t="s">
        <v>222</v>
      </c>
      <c r="I281" s="130" t="s">
        <v>131</v>
      </c>
      <c r="J281" s="130" t="s">
        <v>131</v>
      </c>
      <c r="K281" s="130" t="s">
        <v>131</v>
      </c>
      <c r="L281" s="130" t="s">
        <v>131</v>
      </c>
      <c r="M281" s="129" t="s">
        <v>203</v>
      </c>
      <c r="N281" s="75" t="str">
        <f>"ETD_V20007_"&amp;'Check list'!E7</f>
        <v>ETD_V20007_FR003WM2A001E001</v>
      </c>
      <c r="O281" s="132" t="s">
        <v>152</v>
      </c>
      <c r="P281" s="133">
        <v>320040</v>
      </c>
      <c r="Q281" s="134" t="s">
        <v>131</v>
      </c>
      <c r="R281" s="135" t="s">
        <v>131</v>
      </c>
      <c r="S281" s="136" t="s">
        <v>131</v>
      </c>
      <c r="T281" s="137" t="s">
        <v>131</v>
      </c>
    </row>
    <row r="282" s="12" customFormat="1" ht="14.4" spans="1:20">
      <c r="A282" s="128" t="str">
        <f t="shared" si="17"/>
        <v>FR003WM2A001E001</v>
      </c>
      <c r="B282" s="129" t="s">
        <v>683</v>
      </c>
      <c r="C282" s="294" t="s">
        <v>688</v>
      </c>
      <c r="D282" s="130" t="s">
        <v>157</v>
      </c>
      <c r="E282" s="130" t="str">
        <f>IF('Check list'!F10="AN","THK V2 AlN "&amp;'Check list'!D36&amp;"nm","THK V2 "&amp;TEXT(('Check list'!D10),"0%")&amp;" AlScN "&amp;'Check list'!D36&amp;"nm")</f>
        <v>THK V2 AlN 300nm</v>
      </c>
      <c r="F282" s="130" t="s">
        <v>131</v>
      </c>
      <c r="G282" s="130" t="str">
        <f>"THK-V2"&amp;'Check list'!F10&amp;'Check list'!D36&amp;"N"</f>
        <v>THK-V2AN300N</v>
      </c>
      <c r="H282" s="131" t="s">
        <v>158</v>
      </c>
      <c r="I282" s="130" t="s">
        <v>131</v>
      </c>
      <c r="J282" s="130" t="s">
        <v>131</v>
      </c>
      <c r="K282" s="130" t="s">
        <v>131</v>
      </c>
      <c r="L282" s="130" t="s">
        <v>689</v>
      </c>
      <c r="M282" s="129"/>
      <c r="N282" s="130" t="s">
        <v>131</v>
      </c>
      <c r="O282" s="132" t="s">
        <v>131</v>
      </c>
      <c r="P282" s="133"/>
      <c r="Q282" s="134" t="s">
        <v>131</v>
      </c>
      <c r="R282" s="135" t="s">
        <v>131</v>
      </c>
      <c r="S282" s="136" t="s">
        <v>131</v>
      </c>
      <c r="T282" s="137" t="s">
        <v>131</v>
      </c>
    </row>
    <row r="283" s="12" customFormat="1" ht="14.4" spans="1:20">
      <c r="A283" s="128" t="str">
        <f t="shared" si="17"/>
        <v>FR003WM2A001E001</v>
      </c>
      <c r="B283" s="129" t="s">
        <v>683</v>
      </c>
      <c r="C283" s="294" t="s">
        <v>690</v>
      </c>
      <c r="D283" s="130" t="s">
        <v>691</v>
      </c>
      <c r="E283" s="130" t="s">
        <v>131</v>
      </c>
      <c r="F283" s="130" t="s">
        <v>131</v>
      </c>
      <c r="G283" s="130" t="s">
        <v>132</v>
      </c>
      <c r="H283" s="131" t="s">
        <v>140</v>
      </c>
      <c r="I283" s="130" t="s">
        <v>131</v>
      </c>
      <c r="J283" s="130" t="s">
        <v>131</v>
      </c>
      <c r="K283" s="130" t="s">
        <v>131</v>
      </c>
      <c r="L283" s="130" t="s">
        <v>692</v>
      </c>
      <c r="M283" s="129"/>
      <c r="N283" s="130" t="s">
        <v>131</v>
      </c>
      <c r="O283" s="132" t="s">
        <v>131</v>
      </c>
      <c r="P283" s="133"/>
      <c r="Q283" s="134" t="s">
        <v>131</v>
      </c>
      <c r="R283" s="135" t="s">
        <v>131</v>
      </c>
      <c r="S283" s="136" t="s">
        <v>131</v>
      </c>
      <c r="T283" s="137" t="s">
        <v>131</v>
      </c>
    </row>
    <row r="284" s="12" customFormat="1" ht="14.4" spans="1:20">
      <c r="A284" s="128" t="str">
        <f t="shared" si="17"/>
        <v>FR003WM2A001E001</v>
      </c>
      <c r="B284" s="129" t="s">
        <v>683</v>
      </c>
      <c r="C284" s="294" t="s">
        <v>693</v>
      </c>
      <c r="D284" s="130" t="s">
        <v>168</v>
      </c>
      <c r="E284" s="130" t="s">
        <v>131</v>
      </c>
      <c r="F284" s="130" t="s">
        <v>131</v>
      </c>
      <c r="G284" s="130" t="s">
        <v>132</v>
      </c>
      <c r="H284" s="131" t="s">
        <v>132</v>
      </c>
      <c r="I284" s="130" t="s">
        <v>131</v>
      </c>
      <c r="J284" s="130" t="s">
        <v>131</v>
      </c>
      <c r="K284" s="130" t="s">
        <v>131</v>
      </c>
      <c r="L284" s="130" t="s">
        <v>131</v>
      </c>
      <c r="M284" s="129"/>
      <c r="N284" s="130" t="s">
        <v>131</v>
      </c>
      <c r="O284" s="132" t="s">
        <v>131</v>
      </c>
      <c r="P284" s="133"/>
      <c r="Q284" s="134" t="s">
        <v>131</v>
      </c>
      <c r="R284" s="135" t="s">
        <v>131</v>
      </c>
      <c r="S284" s="136" t="s">
        <v>131</v>
      </c>
      <c r="T284" s="137" t="s">
        <v>131</v>
      </c>
    </row>
    <row r="285" s="9" customFormat="1" ht="14.4" spans="1:20">
      <c r="A285" s="42" t="str">
        <f t="shared" si="17"/>
        <v>FR003WM2A001E001</v>
      </c>
      <c r="B285" s="43" t="s">
        <v>87</v>
      </c>
      <c r="C285" s="282" t="s">
        <v>694</v>
      </c>
      <c r="D285" s="44" t="s">
        <v>170</v>
      </c>
      <c r="E285" s="44"/>
      <c r="F285" s="44"/>
      <c r="G285" s="44" t="s">
        <v>171</v>
      </c>
      <c r="H285" s="45" t="s">
        <v>172</v>
      </c>
      <c r="I285" s="44"/>
      <c r="J285" s="44"/>
      <c r="K285" s="44"/>
      <c r="L285" s="44"/>
      <c r="M285" s="43" t="s">
        <v>146</v>
      </c>
      <c r="N285" s="44" t="str">
        <f>"ETD_W10001_"&amp;'Check list'!E7</f>
        <v>ETD_W10001_FR003WM2A001E001</v>
      </c>
      <c r="O285" s="71"/>
      <c r="P285" s="72"/>
      <c r="Q285" s="92"/>
      <c r="R285" s="93"/>
      <c r="S285" s="94"/>
      <c r="T285" s="95"/>
    </row>
    <row r="286" s="9" customFormat="1" ht="14.4" spans="1:20">
      <c r="A286" s="42" t="str">
        <f t="shared" si="17"/>
        <v>FR003WM2A001E001</v>
      </c>
      <c r="B286" s="43" t="s">
        <v>87</v>
      </c>
      <c r="C286" s="282" t="s">
        <v>695</v>
      </c>
      <c r="D286" s="44" t="s">
        <v>696</v>
      </c>
      <c r="E286" s="44"/>
      <c r="F286" s="44"/>
      <c r="G286" s="44" t="str">
        <f>'Check list'!G34</f>
        <v>IP4000@EF041A-126</v>
      </c>
      <c r="H286" s="45" t="s">
        <v>175</v>
      </c>
      <c r="I286" s="44"/>
      <c r="J286" s="44" t="str">
        <f>'Check list'!$D$5&amp;"_126"</f>
        <v>EF041A_126</v>
      </c>
      <c r="K286" s="44"/>
      <c r="L286" s="44"/>
      <c r="M286" s="43" t="s">
        <v>146</v>
      </c>
      <c r="N286" s="44" t="str">
        <f>"ETD_W10002_"&amp;'Check list'!E7</f>
        <v>ETD_W10002_FR003WM2A001E001</v>
      </c>
      <c r="O286" s="71" t="s">
        <v>152</v>
      </c>
      <c r="P286" s="72">
        <v>340020</v>
      </c>
      <c r="Q286" s="92"/>
      <c r="R286" s="93"/>
      <c r="S286" s="94"/>
      <c r="T286" s="95"/>
    </row>
    <row r="287" s="9" customFormat="1" ht="14.4" spans="1:20">
      <c r="A287" s="42" t="str">
        <f t="shared" si="17"/>
        <v>FR003WM2A001E001</v>
      </c>
      <c r="B287" s="43" t="s">
        <v>87</v>
      </c>
      <c r="C287" s="282" t="s">
        <v>697</v>
      </c>
      <c r="D287" s="44" t="s">
        <v>698</v>
      </c>
      <c r="E287" s="44"/>
      <c r="F287" s="44"/>
      <c r="G287" s="44" t="str">
        <f>'Check list'!$D$5&amp;"/"&amp;'Check list'!$D$5&amp;"_W1_PH_B"</f>
        <v>EF041A/EF041A_W1_PH_B</v>
      </c>
      <c r="H287" s="45" t="s">
        <v>178</v>
      </c>
      <c r="I287" s="44"/>
      <c r="J287" s="44"/>
      <c r="K287" s="44"/>
      <c r="L287" s="44" t="s">
        <v>699</v>
      </c>
      <c r="M287" s="43"/>
      <c r="N287" s="44" t="s">
        <v>131</v>
      </c>
      <c r="O287" s="71" t="s">
        <v>243</v>
      </c>
      <c r="P287" s="72">
        <v>340020</v>
      </c>
      <c r="Q287" s="92"/>
      <c r="R287" s="93"/>
      <c r="S287" s="94"/>
      <c r="T287" s="95"/>
    </row>
    <row r="288" s="9" customFormat="1" ht="14.4" spans="1:20">
      <c r="A288" s="42" t="str">
        <f t="shared" si="17"/>
        <v>FR003WM2A001E001</v>
      </c>
      <c r="B288" s="43" t="s">
        <v>87</v>
      </c>
      <c r="C288" s="282" t="s">
        <v>700</v>
      </c>
      <c r="D288" s="44" t="s">
        <v>248</v>
      </c>
      <c r="E288" s="44"/>
      <c r="F288" s="44"/>
      <c r="G288" s="44" t="str">
        <f>"OVL"&amp;'Check list'!$D$5&amp;"-126"</f>
        <v>OVLEF041A-126</v>
      </c>
      <c r="H288" s="45" t="s">
        <v>249</v>
      </c>
      <c r="I288" s="44"/>
      <c r="J288" s="44"/>
      <c r="K288" s="44"/>
      <c r="L288" s="44" t="s">
        <v>701</v>
      </c>
      <c r="M288" s="43"/>
      <c r="N288" s="44" t="s">
        <v>131</v>
      </c>
      <c r="O288" s="71" t="s">
        <v>243</v>
      </c>
      <c r="P288" s="72">
        <v>340020</v>
      </c>
      <c r="Q288" s="92"/>
      <c r="R288" s="93"/>
      <c r="S288" s="94"/>
      <c r="T288" s="95"/>
    </row>
    <row r="289" s="9" customFormat="1" ht="14.4" spans="1:20">
      <c r="A289" s="42" t="str">
        <f t="shared" si="17"/>
        <v>FR003WM2A001E001</v>
      </c>
      <c r="B289" s="43" t="s">
        <v>87</v>
      </c>
      <c r="C289" s="282" t="s">
        <v>702</v>
      </c>
      <c r="D289" s="44" t="s">
        <v>185</v>
      </c>
      <c r="E289" s="44"/>
      <c r="F289" s="44"/>
      <c r="G289" s="44" t="s">
        <v>132</v>
      </c>
      <c r="H289" s="45" t="s">
        <v>186</v>
      </c>
      <c r="I289" s="44"/>
      <c r="J289" s="44"/>
      <c r="K289" s="44"/>
      <c r="L289" s="44"/>
      <c r="M289" s="43"/>
      <c r="N289" s="44" t="s">
        <v>131</v>
      </c>
      <c r="O289" s="71" t="s">
        <v>243</v>
      </c>
      <c r="P289" s="72">
        <v>340020</v>
      </c>
      <c r="Q289" s="92"/>
      <c r="R289" s="93"/>
      <c r="S289" s="94"/>
      <c r="T289" s="95"/>
    </row>
    <row r="290" s="9" customFormat="1" ht="14.4" spans="1:20">
      <c r="A290" s="42" t="str">
        <f t="shared" si="17"/>
        <v>FR003WM2A001E001</v>
      </c>
      <c r="B290" s="43" t="s">
        <v>87</v>
      </c>
      <c r="C290" s="282" t="s">
        <v>703</v>
      </c>
      <c r="D290" s="44" t="s">
        <v>704</v>
      </c>
      <c r="E290" s="44"/>
      <c r="F290" s="44"/>
      <c r="G290" s="44" t="str">
        <f>'Check list'!I36</f>
        <v>ICP-V2AN300N</v>
      </c>
      <c r="H290" s="45" t="s">
        <v>254</v>
      </c>
      <c r="I290" s="44"/>
      <c r="J290" s="44"/>
      <c r="K290" s="44"/>
      <c r="L290" s="44"/>
      <c r="M290" s="43"/>
      <c r="N290" s="44" t="s">
        <v>131</v>
      </c>
      <c r="O290" s="71"/>
      <c r="P290" s="72"/>
      <c r="Q290" s="92"/>
      <c r="R290" s="93"/>
      <c r="S290" s="94"/>
      <c r="T290" s="95"/>
    </row>
    <row r="291" s="9" customFormat="1" ht="14.4" spans="1:20">
      <c r="A291" s="42" t="str">
        <f t="shared" ref="A291:A301" si="18">$E$3</f>
        <v>FR003WM2A001E001</v>
      </c>
      <c r="B291" s="43" t="s">
        <v>87</v>
      </c>
      <c r="C291" s="282" t="s">
        <v>705</v>
      </c>
      <c r="D291" s="44" t="s">
        <v>664</v>
      </c>
      <c r="E291" s="44"/>
      <c r="F291" s="44"/>
      <c r="G291" s="44" t="str">
        <f>'Check list'!I35</f>
        <v>ICP-W1MO368N</v>
      </c>
      <c r="H291" s="45" t="s">
        <v>254</v>
      </c>
      <c r="I291" s="44"/>
      <c r="J291" s="44"/>
      <c r="K291" s="44"/>
      <c r="L291" s="44"/>
      <c r="M291" s="43" t="s">
        <v>189</v>
      </c>
      <c r="N291" s="44" t="str">
        <f>"ETD_W10003_"&amp;'Check list'!E7</f>
        <v>ETD_W10003_FR003WM2A001E001</v>
      </c>
      <c r="O291" s="71"/>
      <c r="P291" s="72"/>
      <c r="Q291" s="92"/>
      <c r="R291" s="93"/>
      <c r="S291" s="94"/>
      <c r="T291" s="95"/>
    </row>
    <row r="292" s="9" customFormat="1" ht="14.4" spans="1:20">
      <c r="A292" s="42" t="str">
        <f t="shared" si="18"/>
        <v>FR003WM2A001E001</v>
      </c>
      <c r="B292" s="43" t="s">
        <v>87</v>
      </c>
      <c r="C292" s="282" t="s">
        <v>706</v>
      </c>
      <c r="D292" s="44" t="s">
        <v>196</v>
      </c>
      <c r="E292" s="44"/>
      <c r="F292" s="44"/>
      <c r="G292" s="44" t="s">
        <v>197</v>
      </c>
      <c r="H292" s="45" t="s">
        <v>198</v>
      </c>
      <c r="I292" s="44"/>
      <c r="J292" s="44"/>
      <c r="K292" s="44"/>
      <c r="L292" s="44"/>
      <c r="M292" s="43" t="s">
        <v>189</v>
      </c>
      <c r="N292" s="44" t="str">
        <f>"ETD_W10004_"&amp;'Check list'!E7</f>
        <v>ETD_W10004_FR003WM2A001E001</v>
      </c>
      <c r="O292" s="71" t="s">
        <v>707</v>
      </c>
      <c r="P292" s="72">
        <v>340160</v>
      </c>
      <c r="Q292" s="92"/>
      <c r="R292" s="93"/>
      <c r="S292" s="94"/>
      <c r="T292" s="95"/>
    </row>
    <row r="293" s="9" customFormat="1" ht="14.4" spans="1:20">
      <c r="A293" s="42" t="str">
        <f t="shared" si="18"/>
        <v>FR003WM2A001E001</v>
      </c>
      <c r="B293" s="43" t="s">
        <v>87</v>
      </c>
      <c r="C293" s="282" t="s">
        <v>708</v>
      </c>
      <c r="D293" s="44" t="s">
        <v>191</v>
      </c>
      <c r="E293" s="44"/>
      <c r="F293" s="44"/>
      <c r="G293" s="44" t="s">
        <v>258</v>
      </c>
      <c r="H293" s="45" t="s">
        <v>193</v>
      </c>
      <c r="I293" s="44"/>
      <c r="J293" s="44"/>
      <c r="K293" s="44"/>
      <c r="L293" s="44"/>
      <c r="M293" s="43" t="s">
        <v>189</v>
      </c>
      <c r="N293" s="44" t="str">
        <f>"ETD_W10005_"&amp;'Check list'!E7</f>
        <v>ETD_W10005_FR003WM2A001E001</v>
      </c>
      <c r="O293" s="71"/>
      <c r="P293" s="72"/>
      <c r="Q293" s="92"/>
      <c r="R293" s="93"/>
      <c r="S293" s="94"/>
      <c r="T293" s="95"/>
    </row>
    <row r="294" s="9" customFormat="1" ht="14.4" spans="1:20">
      <c r="A294" s="42" t="str">
        <f t="shared" si="18"/>
        <v>FR003WM2A001E001</v>
      </c>
      <c r="B294" s="43" t="s">
        <v>87</v>
      </c>
      <c r="C294" s="282" t="s">
        <v>709</v>
      </c>
      <c r="D294" s="44" t="s">
        <v>170</v>
      </c>
      <c r="E294" s="44"/>
      <c r="F294" s="44"/>
      <c r="G294" s="44" t="s">
        <v>171</v>
      </c>
      <c r="H294" s="45" t="s">
        <v>172</v>
      </c>
      <c r="I294" s="44"/>
      <c r="J294" s="44"/>
      <c r="K294" s="44"/>
      <c r="L294" s="44"/>
      <c r="M294" s="43"/>
      <c r="N294" s="44"/>
      <c r="O294" s="71"/>
      <c r="P294" s="72"/>
      <c r="Q294" s="92"/>
      <c r="R294" s="93"/>
      <c r="S294" s="94"/>
      <c r="T294" s="95"/>
    </row>
    <row r="295" s="9" customFormat="1" ht="14.4" spans="1:20">
      <c r="A295" s="42" t="str">
        <f t="shared" si="18"/>
        <v>FR003WM2A001E001</v>
      </c>
      <c r="B295" s="43" t="s">
        <v>87</v>
      </c>
      <c r="C295" s="282" t="s">
        <v>710</v>
      </c>
      <c r="D295" s="44" t="s">
        <v>711</v>
      </c>
      <c r="E295" s="44"/>
      <c r="F295" s="44"/>
      <c r="G295" s="44" t="str">
        <f>"PRF-"&amp;'Check list'!$D$5&amp;"W2"</f>
        <v>PRF-EF041AW2</v>
      </c>
      <c r="H295" s="45" t="s">
        <v>201</v>
      </c>
      <c r="I295" s="44"/>
      <c r="J295" s="44"/>
      <c r="K295" s="44"/>
      <c r="L295" s="44" t="s">
        <v>712</v>
      </c>
      <c r="M295" s="43"/>
      <c r="N295" s="44"/>
      <c r="O295" s="71" t="s">
        <v>713</v>
      </c>
      <c r="P295" s="72">
        <v>340160</v>
      </c>
      <c r="Q295" s="92"/>
      <c r="R295" s="93"/>
      <c r="S295" s="94"/>
      <c r="T295" s="95"/>
    </row>
    <row r="296" s="9" customFormat="1" ht="14.4" spans="1:20">
      <c r="A296" s="42" t="str">
        <f t="shared" si="18"/>
        <v>FR003WM2A001E001</v>
      </c>
      <c r="B296" s="43" t="s">
        <v>87</v>
      </c>
      <c r="C296" s="282" t="s">
        <v>714</v>
      </c>
      <c r="D296" s="44" t="s">
        <v>715</v>
      </c>
      <c r="E296" s="44"/>
      <c r="F296" s="44"/>
      <c r="G296" s="44" t="str">
        <f>"PRF-"&amp;'Check list'!$D$5&amp;"W1"</f>
        <v>PRF-EF041AW1</v>
      </c>
      <c r="H296" s="45" t="s">
        <v>201</v>
      </c>
      <c r="I296" s="44"/>
      <c r="J296" s="44"/>
      <c r="K296" s="44"/>
      <c r="L296" s="44" t="s">
        <v>716</v>
      </c>
      <c r="M296" s="43"/>
      <c r="N296" s="44"/>
      <c r="O296" s="71" t="s">
        <v>713</v>
      </c>
      <c r="P296" s="72">
        <v>340160</v>
      </c>
      <c r="Q296" s="92"/>
      <c r="R296" s="93"/>
      <c r="S296" s="94"/>
      <c r="T296" s="95"/>
    </row>
    <row r="297" s="9" customFormat="1" ht="14.4" spans="1:20">
      <c r="A297" s="42" t="str">
        <f t="shared" si="18"/>
        <v>FR003WM2A001E001</v>
      </c>
      <c r="B297" s="43" t="s">
        <v>87</v>
      </c>
      <c r="C297" s="282" t="s">
        <v>717</v>
      </c>
      <c r="D297" s="44" t="s">
        <v>718</v>
      </c>
      <c r="E297" s="44"/>
      <c r="F297" s="44"/>
      <c r="G297" s="44" t="str">
        <f>'Check list'!$D$5&amp;"/"&amp;'Check list'!$D$5&amp;"_W1_ET_B"</f>
        <v>EF041A/EF041A_W1_ET_B</v>
      </c>
      <c r="H297" s="45" t="s">
        <v>178</v>
      </c>
      <c r="I297" s="44"/>
      <c r="J297" s="44"/>
      <c r="K297" s="44"/>
      <c r="L297" s="44" t="s">
        <v>719</v>
      </c>
      <c r="M297" s="43"/>
      <c r="N297" s="44"/>
      <c r="O297" s="71" t="s">
        <v>713</v>
      </c>
      <c r="P297" s="72">
        <v>340160</v>
      </c>
      <c r="Q297" s="92"/>
      <c r="R297" s="93"/>
      <c r="S297" s="94"/>
      <c r="T297" s="95"/>
    </row>
    <row r="298" s="9" customFormat="1" ht="14.4" spans="1:20">
      <c r="A298" s="42" t="str">
        <f t="shared" si="18"/>
        <v>FR003WM2A001E001</v>
      </c>
      <c r="B298" s="43" t="s">
        <v>87</v>
      </c>
      <c r="C298" s="282" t="s">
        <v>720</v>
      </c>
      <c r="D298" s="44" t="s">
        <v>212</v>
      </c>
      <c r="E298" s="44"/>
      <c r="F298" s="44"/>
      <c r="G298" s="44" t="s">
        <v>132</v>
      </c>
      <c r="H298" s="45" t="s">
        <v>186</v>
      </c>
      <c r="I298" s="44"/>
      <c r="J298" s="44"/>
      <c r="K298" s="44"/>
      <c r="L298" s="44"/>
      <c r="M298" s="43"/>
      <c r="N298" s="44"/>
      <c r="O298" s="71" t="s">
        <v>713</v>
      </c>
      <c r="P298" s="72">
        <v>340160</v>
      </c>
      <c r="Q298" s="92"/>
      <c r="R298" s="93"/>
      <c r="S298" s="94"/>
      <c r="T298" s="95"/>
    </row>
    <row r="299" s="9" customFormat="1" ht="14.4" spans="1:20">
      <c r="A299" s="42" t="str">
        <f t="shared" si="18"/>
        <v>FR003WM2A001E001</v>
      </c>
      <c r="B299" s="43" t="s">
        <v>87</v>
      </c>
      <c r="C299" s="282" t="s">
        <v>721</v>
      </c>
      <c r="D299" s="44" t="s">
        <v>214</v>
      </c>
      <c r="E299" s="44"/>
      <c r="F299" s="44"/>
      <c r="G299" s="44" t="s">
        <v>132</v>
      </c>
      <c r="H299" s="45" t="s">
        <v>215</v>
      </c>
      <c r="I299" s="44"/>
      <c r="J299" s="44"/>
      <c r="K299" s="44"/>
      <c r="L299" s="44"/>
      <c r="M299" s="43"/>
      <c r="N299" s="44"/>
      <c r="O299" s="71" t="s">
        <v>216</v>
      </c>
      <c r="P299" s="72">
        <v>340300</v>
      </c>
      <c r="Q299" s="92"/>
      <c r="R299" s="93"/>
      <c r="S299" s="94"/>
      <c r="T299" s="95"/>
    </row>
    <row r="300" s="10" customFormat="1" ht="14.4" spans="1:20">
      <c r="A300" s="46" t="str">
        <f t="shared" si="18"/>
        <v>FR003WM2A001E001</v>
      </c>
      <c r="B300" s="47" t="s">
        <v>88</v>
      </c>
      <c r="C300" s="285" t="s">
        <v>722</v>
      </c>
      <c r="D300" s="48" t="s">
        <v>170</v>
      </c>
      <c r="E300" s="48" t="s">
        <v>131</v>
      </c>
      <c r="F300" s="48" t="s">
        <v>131</v>
      </c>
      <c r="G300" s="48" t="s">
        <v>171</v>
      </c>
      <c r="H300" s="49" t="s">
        <v>172</v>
      </c>
      <c r="I300" s="48" t="s">
        <v>131</v>
      </c>
      <c r="J300" s="48" t="s">
        <v>131</v>
      </c>
      <c r="K300" s="48" t="s">
        <v>131</v>
      </c>
      <c r="L300" s="48" t="s">
        <v>131</v>
      </c>
      <c r="M300" s="47" t="s">
        <v>146</v>
      </c>
      <c r="N300" s="48" t="str">
        <f>"ETD_V20002_"&amp;'Check list'!E7</f>
        <v>ETD_V20002_FR003WM2A001E001</v>
      </c>
      <c r="O300" s="76" t="s">
        <v>131</v>
      </c>
      <c r="P300" s="77"/>
      <c r="Q300" s="96" t="s">
        <v>131</v>
      </c>
      <c r="R300" s="97" t="s">
        <v>131</v>
      </c>
      <c r="S300" s="98" t="s">
        <v>131</v>
      </c>
      <c r="T300" s="99" t="s">
        <v>131</v>
      </c>
    </row>
    <row r="301" s="10" customFormat="1" ht="14.4" spans="1:20">
      <c r="A301" s="46" t="str">
        <f t="shared" si="18"/>
        <v>FR003WM2A001E001</v>
      </c>
      <c r="B301" s="47" t="s">
        <v>88</v>
      </c>
      <c r="C301" s="285" t="s">
        <v>723</v>
      </c>
      <c r="D301" s="48" t="s">
        <v>724</v>
      </c>
      <c r="E301" s="48" t="s">
        <v>131</v>
      </c>
      <c r="F301" s="48" t="s">
        <v>131</v>
      </c>
      <c r="G301" s="48" t="str">
        <f>'Check list'!G36</f>
        <v>IP3000@EF041A-90</v>
      </c>
      <c r="H301" s="49" t="s">
        <v>175</v>
      </c>
      <c r="I301" s="48" t="s">
        <v>131</v>
      </c>
      <c r="J301" s="48" t="str">
        <f>'Check list'!$D$5&amp;"_90"</f>
        <v>EF041A_90</v>
      </c>
      <c r="K301" s="48" t="s">
        <v>131</v>
      </c>
      <c r="L301" s="48" t="s">
        <v>131</v>
      </c>
      <c r="M301" s="47" t="s">
        <v>146</v>
      </c>
      <c r="N301" s="48" t="str">
        <f>"ETD_V20003_"&amp;'Check list'!E7</f>
        <v>ETD_V20003_FR003WM2A001E001</v>
      </c>
      <c r="O301" s="76" t="s">
        <v>152</v>
      </c>
      <c r="P301" s="77">
        <v>360020</v>
      </c>
      <c r="Q301" s="96" t="s">
        <v>131</v>
      </c>
      <c r="R301" s="97" t="s">
        <v>131</v>
      </c>
      <c r="S301" s="98" t="s">
        <v>131</v>
      </c>
      <c r="T301" s="99" t="s">
        <v>131</v>
      </c>
    </row>
    <row r="302" s="10" customFormat="1" ht="14.4" spans="1:20">
      <c r="A302" s="46" t="str">
        <f t="shared" ref="A302:A312" si="19">$E$3</f>
        <v>FR003WM2A001E001</v>
      </c>
      <c r="B302" s="47" t="s">
        <v>88</v>
      </c>
      <c r="C302" s="285" t="s">
        <v>725</v>
      </c>
      <c r="D302" s="48" t="s">
        <v>726</v>
      </c>
      <c r="E302" s="48" t="s">
        <v>131</v>
      </c>
      <c r="F302" s="48" t="s">
        <v>131</v>
      </c>
      <c r="G302" s="48" t="str">
        <f>'Check list'!$D$5&amp;"/"&amp;'Check list'!$D$5&amp;"_V2_PH_B"</f>
        <v>EF041A/EF041A_V2_PH_B</v>
      </c>
      <c r="H302" s="49" t="s">
        <v>178</v>
      </c>
      <c r="I302" s="48" t="s">
        <v>131</v>
      </c>
      <c r="J302" s="48" t="s">
        <v>131</v>
      </c>
      <c r="K302" s="48" t="s">
        <v>131</v>
      </c>
      <c r="L302" s="48" t="s">
        <v>727</v>
      </c>
      <c r="M302" s="47"/>
      <c r="N302" s="48" t="s">
        <v>131</v>
      </c>
      <c r="O302" s="76" t="s">
        <v>243</v>
      </c>
      <c r="P302" s="77">
        <v>360020</v>
      </c>
      <c r="Q302" s="96" t="s">
        <v>131</v>
      </c>
      <c r="R302" s="97" t="s">
        <v>131</v>
      </c>
      <c r="S302" s="98" t="s">
        <v>131</v>
      </c>
      <c r="T302" s="99" t="s">
        <v>131</v>
      </c>
    </row>
    <row r="303" s="10" customFormat="1" ht="14.4" spans="1:20">
      <c r="A303" s="46" t="str">
        <f t="shared" si="19"/>
        <v>FR003WM2A001E001</v>
      </c>
      <c r="B303" s="47" t="s">
        <v>88</v>
      </c>
      <c r="C303" s="285" t="s">
        <v>728</v>
      </c>
      <c r="D303" s="48" t="s">
        <v>248</v>
      </c>
      <c r="E303" s="48" t="s">
        <v>131</v>
      </c>
      <c r="F303" s="48" t="s">
        <v>131</v>
      </c>
      <c r="G303" s="48" t="str">
        <f>"OVL"&amp;'Check list'!$D$5&amp;"-90"</f>
        <v>OVLEF041A-90</v>
      </c>
      <c r="H303" s="49" t="s">
        <v>249</v>
      </c>
      <c r="I303" s="48" t="s">
        <v>131</v>
      </c>
      <c r="J303" s="48" t="s">
        <v>131</v>
      </c>
      <c r="K303" s="48" t="s">
        <v>131</v>
      </c>
      <c r="L303" s="48" t="s">
        <v>729</v>
      </c>
      <c r="M303" s="47"/>
      <c r="N303" s="48" t="s">
        <v>131</v>
      </c>
      <c r="O303" s="76" t="s">
        <v>243</v>
      </c>
      <c r="P303" s="77">
        <v>360020</v>
      </c>
      <c r="Q303" s="96" t="s">
        <v>131</v>
      </c>
      <c r="R303" s="97" t="s">
        <v>131</v>
      </c>
      <c r="S303" s="98" t="s">
        <v>131</v>
      </c>
      <c r="T303" s="99" t="s">
        <v>131</v>
      </c>
    </row>
    <row r="304" s="10" customFormat="1" ht="14.4" spans="1:20">
      <c r="A304" s="46" t="str">
        <f t="shared" si="19"/>
        <v>FR003WM2A001E001</v>
      </c>
      <c r="B304" s="47" t="s">
        <v>88</v>
      </c>
      <c r="C304" s="285" t="s">
        <v>730</v>
      </c>
      <c r="D304" s="48" t="s">
        <v>185</v>
      </c>
      <c r="E304" s="48" t="s">
        <v>131</v>
      </c>
      <c r="F304" s="48" t="s">
        <v>131</v>
      </c>
      <c r="G304" s="48" t="s">
        <v>132</v>
      </c>
      <c r="H304" s="49" t="s">
        <v>186</v>
      </c>
      <c r="I304" s="48" t="s">
        <v>131</v>
      </c>
      <c r="J304" s="48" t="s">
        <v>131</v>
      </c>
      <c r="K304" s="48" t="s">
        <v>131</v>
      </c>
      <c r="L304" s="48" t="s">
        <v>131</v>
      </c>
      <c r="M304" s="47"/>
      <c r="N304" s="48" t="s">
        <v>131</v>
      </c>
      <c r="O304" s="76" t="s">
        <v>243</v>
      </c>
      <c r="P304" s="77">
        <v>360020</v>
      </c>
      <c r="Q304" s="96" t="s">
        <v>131</v>
      </c>
      <c r="R304" s="97" t="s">
        <v>131</v>
      </c>
      <c r="S304" s="98" t="s">
        <v>131</v>
      </c>
      <c r="T304" s="99" t="s">
        <v>131</v>
      </c>
    </row>
    <row r="305" s="10" customFormat="1" ht="14.4" spans="1:20">
      <c r="A305" s="46" t="str">
        <f t="shared" si="19"/>
        <v>FR003WM2A001E001</v>
      </c>
      <c r="B305" s="47" t="s">
        <v>88</v>
      </c>
      <c r="C305" s="285" t="s">
        <v>731</v>
      </c>
      <c r="D305" s="48" t="s">
        <v>732</v>
      </c>
      <c r="E305" s="48" t="str">
        <f>IF('Check list'!F10="AN","Etch V2 AlN "&amp;'Check list'!D36&amp;"nm,OE 30~60nm","Etch V2 "&amp;TEXT(('Check list'!D10),"0%")&amp;" AlScN "&amp;'Check list'!D36&amp;"nm,OE 30~60nm")</f>
        <v>Etch V2 AlN 300nm,OE 30~60nm</v>
      </c>
      <c r="F305" s="48" t="s">
        <v>131</v>
      </c>
      <c r="G305" s="48" t="str">
        <f>'Check list'!I36</f>
        <v>ICP-V2AN300N</v>
      </c>
      <c r="H305" s="49" t="s">
        <v>254</v>
      </c>
      <c r="I305" s="48" t="s">
        <v>131</v>
      </c>
      <c r="J305" s="48" t="s">
        <v>131</v>
      </c>
      <c r="K305" s="48" t="s">
        <v>131</v>
      </c>
      <c r="L305" s="48" t="s">
        <v>131</v>
      </c>
      <c r="M305" s="47" t="s">
        <v>189</v>
      </c>
      <c r="N305" s="48" t="str">
        <f>"ETD_V20004_"&amp;'Check list'!E7</f>
        <v>ETD_V20004_FR003WM2A001E001</v>
      </c>
      <c r="O305" s="76"/>
      <c r="P305" s="77"/>
      <c r="Q305" s="96" t="s">
        <v>131</v>
      </c>
      <c r="R305" s="97" t="s">
        <v>131</v>
      </c>
      <c r="S305" s="98" t="s">
        <v>131</v>
      </c>
      <c r="T305" s="99" t="s">
        <v>131</v>
      </c>
    </row>
    <row r="306" s="10" customFormat="1" ht="14.4" spans="1:20">
      <c r="A306" s="46" t="str">
        <f t="shared" si="19"/>
        <v>FR003WM2A001E001</v>
      </c>
      <c r="B306" s="47" t="s">
        <v>88</v>
      </c>
      <c r="C306" s="285" t="s">
        <v>733</v>
      </c>
      <c r="D306" s="48" t="s">
        <v>196</v>
      </c>
      <c r="E306" s="48" t="s">
        <v>131</v>
      </c>
      <c r="F306" s="48" t="s">
        <v>131</v>
      </c>
      <c r="G306" s="48" t="s">
        <v>197</v>
      </c>
      <c r="H306" s="49" t="s">
        <v>198</v>
      </c>
      <c r="I306" s="48" t="s">
        <v>131</v>
      </c>
      <c r="J306" s="48" t="s">
        <v>131</v>
      </c>
      <c r="K306" s="48" t="s">
        <v>131</v>
      </c>
      <c r="L306" s="48" t="s">
        <v>131</v>
      </c>
      <c r="M306" s="47" t="s">
        <v>189</v>
      </c>
      <c r="N306" s="48" t="str">
        <f>"ETD_V20005_"&amp;'Check list'!E7</f>
        <v>ETD_V20005_FR003WM2A001E001</v>
      </c>
      <c r="O306" s="76" t="s">
        <v>734</v>
      </c>
      <c r="P306" s="77">
        <v>360140</v>
      </c>
      <c r="Q306" s="96" t="s">
        <v>131</v>
      </c>
      <c r="R306" s="97" t="s">
        <v>131</v>
      </c>
      <c r="S306" s="98" t="s">
        <v>131</v>
      </c>
      <c r="T306" s="99" t="s">
        <v>131</v>
      </c>
    </row>
    <row r="307" s="10" customFormat="1" ht="14.4" spans="1:20">
      <c r="A307" s="46" t="str">
        <f t="shared" si="19"/>
        <v>FR003WM2A001E001</v>
      </c>
      <c r="B307" s="47" t="s">
        <v>88</v>
      </c>
      <c r="C307" s="285" t="s">
        <v>735</v>
      </c>
      <c r="D307" s="48" t="s">
        <v>191</v>
      </c>
      <c r="E307" s="48" t="s">
        <v>131</v>
      </c>
      <c r="F307" s="48" t="s">
        <v>131</v>
      </c>
      <c r="G307" s="48" t="s">
        <v>258</v>
      </c>
      <c r="H307" s="49" t="s">
        <v>193</v>
      </c>
      <c r="I307" s="48" t="s">
        <v>131</v>
      </c>
      <c r="J307" s="48" t="s">
        <v>131</v>
      </c>
      <c r="K307" s="48" t="s">
        <v>131</v>
      </c>
      <c r="L307" s="48" t="s">
        <v>131</v>
      </c>
      <c r="M307" s="47" t="s">
        <v>189</v>
      </c>
      <c r="N307" s="48" t="str">
        <f>"ETD_V20006_"&amp;'Check list'!E7</f>
        <v>ETD_V20006_FR003WM2A001E001</v>
      </c>
      <c r="O307" s="76" t="s">
        <v>131</v>
      </c>
      <c r="P307" s="77"/>
      <c r="Q307" s="96" t="s">
        <v>131</v>
      </c>
      <c r="R307" s="97" t="s">
        <v>131</v>
      </c>
      <c r="S307" s="98" t="s">
        <v>131</v>
      </c>
      <c r="T307" s="99" t="s">
        <v>131</v>
      </c>
    </row>
    <row r="308" s="10" customFormat="1" ht="14.4" spans="1:20">
      <c r="A308" s="46" t="str">
        <f t="shared" si="19"/>
        <v>FR003WM2A001E001</v>
      </c>
      <c r="B308" s="47" t="s">
        <v>88</v>
      </c>
      <c r="C308" s="285" t="s">
        <v>736</v>
      </c>
      <c r="D308" s="48" t="s">
        <v>170</v>
      </c>
      <c r="E308" s="48" t="s">
        <v>131</v>
      </c>
      <c r="F308" s="48" t="s">
        <v>131</v>
      </c>
      <c r="G308" s="48" t="s">
        <v>171</v>
      </c>
      <c r="H308" s="49" t="s">
        <v>172</v>
      </c>
      <c r="I308" s="48" t="s">
        <v>131</v>
      </c>
      <c r="J308" s="48" t="s">
        <v>131</v>
      </c>
      <c r="K308" s="48" t="s">
        <v>131</v>
      </c>
      <c r="L308" s="48" t="s">
        <v>131</v>
      </c>
      <c r="M308" s="47"/>
      <c r="N308" s="48" t="s">
        <v>131</v>
      </c>
      <c r="O308" s="76" t="s">
        <v>131</v>
      </c>
      <c r="P308" s="77"/>
      <c r="Q308" s="96" t="s">
        <v>131</v>
      </c>
      <c r="R308" s="97" t="s">
        <v>131</v>
      </c>
      <c r="S308" s="98" t="s">
        <v>131</v>
      </c>
      <c r="T308" s="99" t="s">
        <v>131</v>
      </c>
    </row>
    <row r="309" s="10" customFormat="1" ht="14.4" spans="1:20">
      <c r="A309" s="46" t="str">
        <f t="shared" si="19"/>
        <v>FR003WM2A001E001</v>
      </c>
      <c r="B309" s="47" t="s">
        <v>88</v>
      </c>
      <c r="C309" s="285" t="s">
        <v>737</v>
      </c>
      <c r="D309" s="48" t="s">
        <v>738</v>
      </c>
      <c r="E309" s="48" t="s">
        <v>131</v>
      </c>
      <c r="F309" s="48" t="s">
        <v>131</v>
      </c>
      <c r="G309" s="48" t="str">
        <f>"PRF-"&amp;'Check list'!$D$5&amp;"V2"</f>
        <v>PRF-EF041AV2</v>
      </c>
      <c r="H309" s="49" t="s">
        <v>201</v>
      </c>
      <c r="I309" s="48" t="s">
        <v>131</v>
      </c>
      <c r="J309" s="48" t="s">
        <v>131</v>
      </c>
      <c r="K309" s="48" t="s">
        <v>131</v>
      </c>
      <c r="L309" s="48" t="s">
        <v>739</v>
      </c>
      <c r="M309" s="47"/>
      <c r="N309" s="48" t="s">
        <v>131</v>
      </c>
      <c r="O309" s="76" t="s">
        <v>740</v>
      </c>
      <c r="P309" s="77">
        <v>360140</v>
      </c>
      <c r="Q309" s="96" t="s">
        <v>131</v>
      </c>
      <c r="R309" s="97" t="s">
        <v>131</v>
      </c>
      <c r="S309" s="98" t="s">
        <v>131</v>
      </c>
      <c r="T309" s="99" t="s">
        <v>131</v>
      </c>
    </row>
    <row r="310" s="10" customFormat="1" ht="14.4" spans="1:20">
      <c r="A310" s="46" t="str">
        <f t="shared" si="19"/>
        <v>FR003WM2A001E001</v>
      </c>
      <c r="B310" s="47" t="s">
        <v>88</v>
      </c>
      <c r="C310" s="285" t="s">
        <v>741</v>
      </c>
      <c r="D310" s="48" t="s">
        <v>742</v>
      </c>
      <c r="E310" s="48" t="s">
        <v>131</v>
      </c>
      <c r="F310" s="48" t="s">
        <v>131</v>
      </c>
      <c r="G310" s="48" t="str">
        <f>'Check list'!$D$5&amp;"/"&amp;'Check list'!$D$5&amp;"_V2_ET_B"</f>
        <v>EF041A/EF041A_V2_ET_B</v>
      </c>
      <c r="H310" s="49" t="s">
        <v>178</v>
      </c>
      <c r="I310" s="48" t="s">
        <v>131</v>
      </c>
      <c r="J310" s="48" t="s">
        <v>131</v>
      </c>
      <c r="K310" s="48" t="s">
        <v>131</v>
      </c>
      <c r="L310" s="48" t="s">
        <v>743</v>
      </c>
      <c r="M310" s="47"/>
      <c r="N310" s="48" t="s">
        <v>131</v>
      </c>
      <c r="O310" s="76" t="s">
        <v>740</v>
      </c>
      <c r="P310" s="77">
        <v>360140</v>
      </c>
      <c r="Q310" s="96" t="s">
        <v>131</v>
      </c>
      <c r="R310" s="97" t="s">
        <v>131</v>
      </c>
      <c r="S310" s="98" t="s">
        <v>131</v>
      </c>
      <c r="T310" s="99" t="s">
        <v>131</v>
      </c>
    </row>
    <row r="311" s="10" customFormat="1" ht="14.4" spans="1:20">
      <c r="A311" s="46" t="str">
        <f t="shared" si="19"/>
        <v>FR003WM2A001E001</v>
      </c>
      <c r="B311" s="47" t="s">
        <v>88</v>
      </c>
      <c r="C311" s="285" t="s">
        <v>744</v>
      </c>
      <c r="D311" s="48" t="s">
        <v>212</v>
      </c>
      <c r="E311" s="48" t="s">
        <v>131</v>
      </c>
      <c r="F311" s="48" t="s">
        <v>131</v>
      </c>
      <c r="G311" s="48" t="s">
        <v>132</v>
      </c>
      <c r="H311" s="49" t="s">
        <v>186</v>
      </c>
      <c r="I311" s="48" t="s">
        <v>131</v>
      </c>
      <c r="J311" s="48" t="s">
        <v>131</v>
      </c>
      <c r="K311" s="48" t="s">
        <v>131</v>
      </c>
      <c r="L311" s="48" t="s">
        <v>131</v>
      </c>
      <c r="M311" s="47"/>
      <c r="N311" s="48" t="s">
        <v>131</v>
      </c>
      <c r="O311" s="76" t="s">
        <v>740</v>
      </c>
      <c r="P311" s="77">
        <v>360140</v>
      </c>
      <c r="Q311" s="96" t="s">
        <v>131</v>
      </c>
      <c r="R311" s="97" t="s">
        <v>131</v>
      </c>
      <c r="S311" s="98" t="s">
        <v>131</v>
      </c>
      <c r="T311" s="99" t="s">
        <v>131</v>
      </c>
    </row>
    <row r="312" s="10" customFormat="1" ht="14.4" spans="1:20">
      <c r="A312" s="46" t="str">
        <f t="shared" si="19"/>
        <v>FR003WM2A001E001</v>
      </c>
      <c r="B312" s="47" t="s">
        <v>88</v>
      </c>
      <c r="C312" s="285" t="s">
        <v>745</v>
      </c>
      <c r="D312" s="48" t="s">
        <v>746</v>
      </c>
      <c r="E312" s="48" t="s">
        <v>131</v>
      </c>
      <c r="F312" s="48" t="s">
        <v>131</v>
      </c>
      <c r="G312" s="48" t="s">
        <v>132</v>
      </c>
      <c r="H312" s="49" t="s">
        <v>273</v>
      </c>
      <c r="I312" s="48" t="s">
        <v>131</v>
      </c>
      <c r="J312" s="48" t="s">
        <v>131</v>
      </c>
      <c r="K312" s="48" t="s">
        <v>131</v>
      </c>
      <c r="L312" s="48" t="s">
        <v>747</v>
      </c>
      <c r="M312" s="47"/>
      <c r="N312" s="48" t="s">
        <v>131</v>
      </c>
      <c r="O312" s="76" t="s">
        <v>740</v>
      </c>
      <c r="P312" s="77">
        <v>360140</v>
      </c>
      <c r="Q312" s="96"/>
      <c r="R312" s="97"/>
      <c r="S312" s="98"/>
      <c r="T312" s="99"/>
    </row>
    <row r="313" s="10" customFormat="1" ht="14.4" spans="1:20">
      <c r="A313" s="46" t="str">
        <f t="shared" ref="A313:A357" si="20">$E$3</f>
        <v>FR003WM2A001E001</v>
      </c>
      <c r="B313" s="47" t="s">
        <v>88</v>
      </c>
      <c r="C313" s="285" t="s">
        <v>748</v>
      </c>
      <c r="D313" s="48" t="s">
        <v>214</v>
      </c>
      <c r="E313" s="48" t="s">
        <v>131</v>
      </c>
      <c r="F313" s="48" t="s">
        <v>131</v>
      </c>
      <c r="G313" s="48" t="s">
        <v>132</v>
      </c>
      <c r="H313" s="49" t="s">
        <v>215</v>
      </c>
      <c r="I313" s="48" t="s">
        <v>131</v>
      </c>
      <c r="J313" s="48" t="s">
        <v>131</v>
      </c>
      <c r="K313" s="48" t="s">
        <v>131</v>
      </c>
      <c r="L313" s="48"/>
      <c r="M313" s="47"/>
      <c r="N313" s="48" t="s">
        <v>131</v>
      </c>
      <c r="O313" s="76" t="s">
        <v>216</v>
      </c>
      <c r="P313" s="77">
        <v>360280</v>
      </c>
      <c r="Q313" s="96" t="s">
        <v>131</v>
      </c>
      <c r="R313" s="97" t="s">
        <v>131</v>
      </c>
      <c r="S313" s="98" t="s">
        <v>131</v>
      </c>
      <c r="T313" s="99" t="s">
        <v>131</v>
      </c>
    </row>
    <row r="314" s="11" customFormat="1" ht="14.4" spans="1:20">
      <c r="A314" s="50" t="str">
        <f t="shared" si="20"/>
        <v>FR003WM2A001E001</v>
      </c>
      <c r="B314" s="51" t="s">
        <v>749</v>
      </c>
      <c r="C314" s="288" t="s">
        <v>750</v>
      </c>
      <c r="D314" s="52" t="s">
        <v>170</v>
      </c>
      <c r="E314" s="52" t="s">
        <v>131</v>
      </c>
      <c r="F314" s="52" t="s">
        <v>131</v>
      </c>
      <c r="G314" s="52" t="s">
        <v>171</v>
      </c>
      <c r="H314" s="53" t="s">
        <v>172</v>
      </c>
      <c r="I314" s="52" t="s">
        <v>131</v>
      </c>
      <c r="J314" s="52" t="s">
        <v>131</v>
      </c>
      <c r="K314" s="52" t="s">
        <v>131</v>
      </c>
      <c r="L314" s="52" t="s">
        <v>131</v>
      </c>
      <c r="M314" s="51" t="s">
        <v>146</v>
      </c>
      <c r="N314" s="52" t="str">
        <f>"ETD_P10001_"&amp;'Check list'!E7</f>
        <v>ETD_P10001_FR003WM2A001E001</v>
      </c>
      <c r="O314" s="79" t="s">
        <v>131</v>
      </c>
      <c r="P314" s="80"/>
      <c r="Q314" s="100" t="s">
        <v>131</v>
      </c>
      <c r="R314" s="101" t="s">
        <v>131</v>
      </c>
      <c r="S314" s="102" t="s">
        <v>131</v>
      </c>
      <c r="T314" s="103" t="s">
        <v>131</v>
      </c>
    </row>
    <row r="315" s="11" customFormat="1" ht="14.4" spans="1:20">
      <c r="A315" s="50" t="str">
        <f t="shared" si="20"/>
        <v>FR003WM2A001E001</v>
      </c>
      <c r="B315" s="51" t="s">
        <v>749</v>
      </c>
      <c r="C315" s="288" t="s">
        <v>751</v>
      </c>
      <c r="D315" s="52" t="s">
        <v>752</v>
      </c>
      <c r="E315" s="52" t="s">
        <v>131</v>
      </c>
      <c r="F315" s="52" t="s">
        <v>131</v>
      </c>
      <c r="G315" s="52" t="str">
        <f>'Check list'!G37</f>
        <v>IN3000@EF041A-48</v>
      </c>
      <c r="H315" s="53" t="s">
        <v>175</v>
      </c>
      <c r="I315" s="52" t="s">
        <v>131</v>
      </c>
      <c r="J315" s="52" t="str">
        <f>'Check list'!$D$5&amp;"_48"</f>
        <v>EF041A_48</v>
      </c>
      <c r="K315" s="52" t="s">
        <v>131</v>
      </c>
      <c r="L315" s="52" t="s">
        <v>131</v>
      </c>
      <c r="M315" s="51" t="s">
        <v>146</v>
      </c>
      <c r="N315" s="52" t="str">
        <f>"ETD_P10002_"&amp;'Check list'!E7</f>
        <v>ETD_P10002_FR003WM2A001E001</v>
      </c>
      <c r="O315" s="79" t="s">
        <v>152</v>
      </c>
      <c r="P315" s="80">
        <v>380020</v>
      </c>
      <c r="Q315" s="100" t="s">
        <v>131</v>
      </c>
      <c r="R315" s="101" t="s">
        <v>131</v>
      </c>
      <c r="S315" s="102" t="s">
        <v>131</v>
      </c>
      <c r="T315" s="103" t="s">
        <v>131</v>
      </c>
    </row>
    <row r="316" s="11" customFormat="1" ht="14.4" spans="1:20">
      <c r="A316" s="50" t="str">
        <f t="shared" si="20"/>
        <v>FR003WM2A001E001</v>
      </c>
      <c r="B316" s="51" t="s">
        <v>749</v>
      </c>
      <c r="C316" s="288" t="s">
        <v>753</v>
      </c>
      <c r="D316" s="52" t="s">
        <v>754</v>
      </c>
      <c r="E316" s="52" t="s">
        <v>131</v>
      </c>
      <c r="F316" s="52" t="s">
        <v>131</v>
      </c>
      <c r="G316" s="52" t="str">
        <f>'Check list'!$D$5&amp;"/"&amp;'Check list'!$D$5&amp;"_P1_PH_B"</f>
        <v>EF041A/EF041A_P1_PH_B</v>
      </c>
      <c r="H316" s="53" t="s">
        <v>178</v>
      </c>
      <c r="I316" s="52" t="s">
        <v>131</v>
      </c>
      <c r="J316" s="52" t="s">
        <v>131</v>
      </c>
      <c r="K316" s="52" t="s">
        <v>131</v>
      </c>
      <c r="L316" s="52" t="s">
        <v>755</v>
      </c>
      <c r="M316" s="51"/>
      <c r="N316" s="52" t="s">
        <v>131</v>
      </c>
      <c r="O316" s="79" t="s">
        <v>243</v>
      </c>
      <c r="P316" s="80">
        <v>380020</v>
      </c>
      <c r="Q316" s="100" t="s">
        <v>131</v>
      </c>
      <c r="R316" s="101" t="s">
        <v>131</v>
      </c>
      <c r="S316" s="102" t="s">
        <v>131</v>
      </c>
      <c r="T316" s="103" t="s">
        <v>131</v>
      </c>
    </row>
    <row r="317" s="11" customFormat="1" ht="14.4" spans="1:20">
      <c r="A317" s="50" t="str">
        <f t="shared" si="20"/>
        <v>FR003WM2A001E001</v>
      </c>
      <c r="B317" s="51" t="s">
        <v>749</v>
      </c>
      <c r="C317" s="288" t="s">
        <v>756</v>
      </c>
      <c r="D317" s="52" t="s">
        <v>248</v>
      </c>
      <c r="E317" s="52" t="s">
        <v>131</v>
      </c>
      <c r="F317" s="52" t="s">
        <v>131</v>
      </c>
      <c r="G317" s="52" t="str">
        <f>"OVL"&amp;'Check list'!$D$5&amp;"-48"</f>
        <v>OVLEF041A-48</v>
      </c>
      <c r="H317" s="53" t="s">
        <v>249</v>
      </c>
      <c r="I317" s="52" t="s">
        <v>131</v>
      </c>
      <c r="J317" s="52" t="s">
        <v>131</v>
      </c>
      <c r="K317" s="52" t="s">
        <v>131</v>
      </c>
      <c r="L317" s="52" t="s">
        <v>757</v>
      </c>
      <c r="M317" s="51"/>
      <c r="N317" s="52" t="s">
        <v>131</v>
      </c>
      <c r="O317" s="79" t="s">
        <v>243</v>
      </c>
      <c r="P317" s="80">
        <v>380020</v>
      </c>
      <c r="Q317" s="100" t="s">
        <v>131</v>
      </c>
      <c r="R317" s="101" t="s">
        <v>131</v>
      </c>
      <c r="S317" s="102" t="s">
        <v>131</v>
      </c>
      <c r="T317" s="103" t="s">
        <v>131</v>
      </c>
    </row>
    <row r="318" s="11" customFormat="1" ht="14.4" spans="1:20">
      <c r="A318" s="50" t="str">
        <f t="shared" si="20"/>
        <v>FR003WM2A001E001</v>
      </c>
      <c r="B318" s="51" t="s">
        <v>749</v>
      </c>
      <c r="C318" s="288" t="s">
        <v>758</v>
      </c>
      <c r="D318" s="52" t="s">
        <v>185</v>
      </c>
      <c r="E318" s="52" t="s">
        <v>131</v>
      </c>
      <c r="F318" s="52" t="s">
        <v>131</v>
      </c>
      <c r="G318" s="52" t="s">
        <v>132</v>
      </c>
      <c r="H318" s="53" t="s">
        <v>186</v>
      </c>
      <c r="I318" s="52" t="s">
        <v>131</v>
      </c>
      <c r="J318" s="52" t="s">
        <v>131</v>
      </c>
      <c r="K318" s="52" t="s">
        <v>131</v>
      </c>
      <c r="L318" s="52" t="s">
        <v>131</v>
      </c>
      <c r="M318" s="51"/>
      <c r="N318" s="52" t="s">
        <v>131</v>
      </c>
      <c r="O318" s="79" t="s">
        <v>243</v>
      </c>
      <c r="P318" s="80">
        <v>380020</v>
      </c>
      <c r="Q318" s="100" t="s">
        <v>131</v>
      </c>
      <c r="R318" s="101" t="s">
        <v>131</v>
      </c>
      <c r="S318" s="102" t="s">
        <v>131</v>
      </c>
      <c r="T318" s="103" t="s">
        <v>131</v>
      </c>
    </row>
    <row r="319" s="11" customFormat="1" ht="14.4" spans="1:20">
      <c r="A319" s="50" t="str">
        <f t="shared" si="20"/>
        <v>FR003WM2A001E001</v>
      </c>
      <c r="B319" s="51" t="s">
        <v>749</v>
      </c>
      <c r="C319" s="288" t="s">
        <v>759</v>
      </c>
      <c r="D319" s="52" t="s">
        <v>760</v>
      </c>
      <c r="E319" s="52" t="str">
        <f>"EGN Al/Ti "&amp;'Check list'!D37&amp;"nm"</f>
        <v>EGN Al/Ti 2000/100nm</v>
      </c>
      <c r="F319" s="52" t="s">
        <v>131</v>
      </c>
      <c r="G319" s="52" t="str">
        <f>'Check list'!E37</f>
        <v>EGN-AL2000-A</v>
      </c>
      <c r="H319" s="53" t="s">
        <v>761</v>
      </c>
      <c r="I319" s="52" t="s">
        <v>131</v>
      </c>
      <c r="J319" s="52" t="s">
        <v>131</v>
      </c>
      <c r="K319" s="52" t="s">
        <v>131</v>
      </c>
      <c r="L319" s="52" t="s">
        <v>131</v>
      </c>
      <c r="M319" s="51" t="s">
        <v>762</v>
      </c>
      <c r="N319" s="52" t="str">
        <f>"ETD_P10003_"&amp;'Check list'!E7</f>
        <v>ETD_P10003_FR003WM2A001E001</v>
      </c>
      <c r="O319" s="79" t="s">
        <v>131</v>
      </c>
      <c r="P319" s="80"/>
      <c r="Q319" s="100" t="s">
        <v>131</v>
      </c>
      <c r="R319" s="101" t="s">
        <v>131</v>
      </c>
      <c r="S319" s="102" t="s">
        <v>131</v>
      </c>
      <c r="T319" s="103" t="s">
        <v>131</v>
      </c>
    </row>
    <row r="320" s="11" customFormat="1" ht="14.4" spans="1:20">
      <c r="A320" s="50" t="str">
        <f t="shared" si="20"/>
        <v>FR003WM2A001E001</v>
      </c>
      <c r="B320" s="51" t="s">
        <v>749</v>
      </c>
      <c r="C320" s="288" t="s">
        <v>763</v>
      </c>
      <c r="D320" s="52" t="s">
        <v>764</v>
      </c>
      <c r="E320" s="52"/>
      <c r="F320" s="52"/>
      <c r="G320" s="52" t="str">
        <f>"MTH-"&amp;'Check list'!$D$5&amp;"P1"</f>
        <v>MTH-EF041AP1</v>
      </c>
      <c r="H320" s="53" t="s">
        <v>235</v>
      </c>
      <c r="I320" s="52"/>
      <c r="J320" s="52"/>
      <c r="K320" s="52"/>
      <c r="L320" s="52" t="s">
        <v>765</v>
      </c>
      <c r="M320" s="51"/>
      <c r="N320" s="52"/>
      <c r="O320" s="79"/>
      <c r="P320" s="80"/>
      <c r="Q320" s="100"/>
      <c r="R320" s="101"/>
      <c r="S320" s="102"/>
      <c r="T320" s="103"/>
    </row>
    <row r="321" s="11" customFormat="1" ht="14.4" spans="1:20">
      <c r="A321" s="50" t="str">
        <f t="shared" si="20"/>
        <v>FR003WM2A001E001</v>
      </c>
      <c r="B321" s="51" t="s">
        <v>749</v>
      </c>
      <c r="C321" s="288" t="s">
        <v>766</v>
      </c>
      <c r="D321" s="52" t="s">
        <v>767</v>
      </c>
      <c r="E321" s="52" t="s">
        <v>131</v>
      </c>
      <c r="F321" s="52" t="s">
        <v>131</v>
      </c>
      <c r="G321" s="52" t="str">
        <f>'Check list'!I37</f>
        <v>ETCHLIF-PAD1</v>
      </c>
      <c r="H321" s="53" t="s">
        <v>768</v>
      </c>
      <c r="I321" s="52" t="s">
        <v>131</v>
      </c>
      <c r="J321" s="52" t="s">
        <v>131</v>
      </c>
      <c r="K321" s="52" t="s">
        <v>131</v>
      </c>
      <c r="L321" s="52" t="s">
        <v>131</v>
      </c>
      <c r="M321" s="51"/>
      <c r="N321" s="52" t="s">
        <v>131</v>
      </c>
      <c r="O321" s="79" t="s">
        <v>131</v>
      </c>
      <c r="P321" s="80"/>
      <c r="Q321" s="100" t="s">
        <v>131</v>
      </c>
      <c r="R321" s="101" t="s">
        <v>131</v>
      </c>
      <c r="S321" s="102" t="s">
        <v>131</v>
      </c>
      <c r="T321" s="103" t="s">
        <v>131</v>
      </c>
    </row>
    <row r="322" s="11" customFormat="1" ht="14.4" spans="1:20">
      <c r="A322" s="50" t="str">
        <f t="shared" si="20"/>
        <v>FR003WM2A001E001</v>
      </c>
      <c r="B322" s="51" t="s">
        <v>749</v>
      </c>
      <c r="C322" s="288" t="s">
        <v>769</v>
      </c>
      <c r="D322" s="52" t="s">
        <v>770</v>
      </c>
      <c r="E322" s="52" t="s">
        <v>131</v>
      </c>
      <c r="F322" s="52" t="s">
        <v>131</v>
      </c>
      <c r="G322" s="52" t="str">
        <f>"PRF-"&amp;'Check list'!$D$5&amp;"P1"</f>
        <v>PRF-EF041AP1</v>
      </c>
      <c r="H322" s="53" t="s">
        <v>201</v>
      </c>
      <c r="I322" s="52" t="s">
        <v>131</v>
      </c>
      <c r="J322" s="52" t="s">
        <v>131</v>
      </c>
      <c r="K322" s="52" t="s">
        <v>131</v>
      </c>
      <c r="L322" s="52" t="s">
        <v>771</v>
      </c>
      <c r="M322" s="51"/>
      <c r="N322" s="52" t="s">
        <v>131</v>
      </c>
      <c r="O322" s="79" t="s">
        <v>131</v>
      </c>
      <c r="P322" s="80"/>
      <c r="Q322" s="100" t="s">
        <v>131</v>
      </c>
      <c r="R322" s="101" t="s">
        <v>131</v>
      </c>
      <c r="S322" s="102" t="s">
        <v>131</v>
      </c>
      <c r="T322" s="103" t="s">
        <v>131</v>
      </c>
    </row>
    <row r="323" s="11" customFormat="1" ht="14.4" spans="1:20">
      <c r="A323" s="50" t="str">
        <f t="shared" si="20"/>
        <v>FR003WM2A001E001</v>
      </c>
      <c r="B323" s="51" t="s">
        <v>749</v>
      </c>
      <c r="C323" s="288" t="s">
        <v>772</v>
      </c>
      <c r="D323" s="52" t="s">
        <v>773</v>
      </c>
      <c r="E323" s="52" t="s">
        <v>131</v>
      </c>
      <c r="F323" s="52" t="s">
        <v>131</v>
      </c>
      <c r="G323" s="52" t="str">
        <f>'Check list'!$D$5&amp;"/"&amp;'Check list'!$D$5&amp;"_P1_ET_B"</f>
        <v>EF041A/EF041A_P1_ET_B</v>
      </c>
      <c r="H323" s="53" t="s">
        <v>178</v>
      </c>
      <c r="I323" s="52" t="s">
        <v>131</v>
      </c>
      <c r="J323" s="52" t="s">
        <v>131</v>
      </c>
      <c r="K323" s="52" t="s">
        <v>131</v>
      </c>
      <c r="L323" s="52" t="s">
        <v>774</v>
      </c>
      <c r="M323" s="51"/>
      <c r="N323" s="52" t="s">
        <v>131</v>
      </c>
      <c r="O323" s="79" t="s">
        <v>131</v>
      </c>
      <c r="P323" s="80"/>
      <c r="Q323" s="100" t="s">
        <v>131</v>
      </c>
      <c r="R323" s="101" t="s">
        <v>131</v>
      </c>
      <c r="S323" s="102" t="s">
        <v>131</v>
      </c>
      <c r="T323" s="103" t="s">
        <v>131</v>
      </c>
    </row>
    <row r="324" s="11" customFormat="1" ht="14.4" spans="1:20">
      <c r="A324" s="50" t="str">
        <f t="shared" si="20"/>
        <v>FR003WM2A001E001</v>
      </c>
      <c r="B324" s="51" t="s">
        <v>749</v>
      </c>
      <c r="C324" s="288" t="s">
        <v>775</v>
      </c>
      <c r="D324" s="52" t="s">
        <v>212</v>
      </c>
      <c r="E324" s="52" t="s">
        <v>131</v>
      </c>
      <c r="F324" s="52" t="s">
        <v>131</v>
      </c>
      <c r="G324" s="52" t="s">
        <v>132</v>
      </c>
      <c r="H324" s="53" t="s">
        <v>132</v>
      </c>
      <c r="I324" s="52" t="s">
        <v>131</v>
      </c>
      <c r="J324" s="52" t="s">
        <v>131</v>
      </c>
      <c r="K324" s="52" t="s">
        <v>131</v>
      </c>
      <c r="L324" s="52" t="s">
        <v>131</v>
      </c>
      <c r="M324" s="51"/>
      <c r="N324" s="52" t="s">
        <v>131</v>
      </c>
      <c r="O324" s="79" t="s">
        <v>776</v>
      </c>
      <c r="P324" s="80">
        <v>380240</v>
      </c>
      <c r="Q324" s="100" t="s">
        <v>131</v>
      </c>
      <c r="R324" s="101" t="s">
        <v>131</v>
      </c>
      <c r="S324" s="102" t="s">
        <v>131</v>
      </c>
      <c r="T324" s="103" t="s">
        <v>131</v>
      </c>
    </row>
    <row r="325" s="11" customFormat="1" ht="14.4" spans="1:20">
      <c r="A325" s="50" t="str">
        <f t="shared" si="20"/>
        <v>FR003WM2A001E001</v>
      </c>
      <c r="B325" s="51" t="s">
        <v>749</v>
      </c>
      <c r="C325" s="288" t="s">
        <v>777</v>
      </c>
      <c r="D325" s="52" t="s">
        <v>778</v>
      </c>
      <c r="E325" s="52" t="s">
        <v>131</v>
      </c>
      <c r="F325" s="52" t="s">
        <v>131</v>
      </c>
      <c r="G325" s="52" t="s">
        <v>132</v>
      </c>
      <c r="H325" s="53" t="s">
        <v>273</v>
      </c>
      <c r="I325" s="52" t="s">
        <v>131</v>
      </c>
      <c r="J325" s="52" t="s">
        <v>131</v>
      </c>
      <c r="K325" s="52" t="s">
        <v>131</v>
      </c>
      <c r="L325" s="52" t="s">
        <v>779</v>
      </c>
      <c r="M325" s="51"/>
      <c r="N325" s="52" t="s">
        <v>131</v>
      </c>
      <c r="O325" s="79" t="s">
        <v>131</v>
      </c>
      <c r="P325" s="80"/>
      <c r="Q325" s="100"/>
      <c r="R325" s="101"/>
      <c r="S325" s="102"/>
      <c r="T325" s="103"/>
    </row>
    <row r="326" s="11" customFormat="1" ht="14.4" spans="1:20">
      <c r="A326" s="50" t="str">
        <f t="shared" si="20"/>
        <v>FR003WM2A001E001</v>
      </c>
      <c r="B326" s="51" t="s">
        <v>749</v>
      </c>
      <c r="C326" s="288" t="s">
        <v>780</v>
      </c>
      <c r="D326" s="52" t="s">
        <v>214</v>
      </c>
      <c r="E326" s="52" t="s">
        <v>131</v>
      </c>
      <c r="F326" s="52" t="s">
        <v>131</v>
      </c>
      <c r="G326" s="52" t="s">
        <v>132</v>
      </c>
      <c r="H326" s="53" t="s">
        <v>215</v>
      </c>
      <c r="I326" s="52" t="s">
        <v>131</v>
      </c>
      <c r="J326" s="52" t="s">
        <v>131</v>
      </c>
      <c r="K326" s="52" t="s">
        <v>131</v>
      </c>
      <c r="L326" s="52"/>
      <c r="M326" s="51"/>
      <c r="N326" s="52" t="s">
        <v>131</v>
      </c>
      <c r="O326" s="79" t="s">
        <v>216</v>
      </c>
      <c r="P326" s="80">
        <v>380280</v>
      </c>
      <c r="Q326" s="100" t="s">
        <v>131</v>
      </c>
      <c r="R326" s="101" t="s">
        <v>131</v>
      </c>
      <c r="S326" s="102" t="s">
        <v>131</v>
      </c>
      <c r="T326" s="103" t="s">
        <v>131</v>
      </c>
    </row>
    <row r="327" s="11" customFormat="1" ht="14.4" spans="1:20">
      <c r="A327" s="50" t="str">
        <f t="shared" ref="A327:A337" si="21">$E$3</f>
        <v>FR003WM2A001E001</v>
      </c>
      <c r="B327" s="51" t="s">
        <v>92</v>
      </c>
      <c r="C327" s="288" t="s">
        <v>781</v>
      </c>
      <c r="D327" s="52" t="s">
        <v>170</v>
      </c>
      <c r="E327" s="52" t="s">
        <v>131</v>
      </c>
      <c r="F327" s="52" t="s">
        <v>131</v>
      </c>
      <c r="G327" s="52" t="s">
        <v>171</v>
      </c>
      <c r="H327" s="53" t="s">
        <v>172</v>
      </c>
      <c r="I327" s="52" t="s">
        <v>131</v>
      </c>
      <c r="J327" s="52" t="s">
        <v>131</v>
      </c>
      <c r="K327" s="52" t="s">
        <v>131</v>
      </c>
      <c r="L327" s="52" t="s">
        <v>131</v>
      </c>
      <c r="M327" s="51" t="s">
        <v>146</v>
      </c>
      <c r="N327" s="52" t="str">
        <f>"ETD_V30001_"&amp;'Check list'!E7</f>
        <v>ETD_V30001_FR003WM2A001E001</v>
      </c>
      <c r="O327" s="79" t="s">
        <v>131</v>
      </c>
      <c r="P327" s="80"/>
      <c r="Q327" s="100" t="s">
        <v>131</v>
      </c>
      <c r="R327" s="101" t="s">
        <v>131</v>
      </c>
      <c r="S327" s="102" t="s">
        <v>131</v>
      </c>
      <c r="T327" s="103" t="s">
        <v>131</v>
      </c>
    </row>
    <row r="328" s="11" customFormat="1" ht="14.4" spans="1:20">
      <c r="A328" s="50" t="str">
        <f t="shared" si="21"/>
        <v>FR003WM2A001E001</v>
      </c>
      <c r="B328" s="51" t="s">
        <v>92</v>
      </c>
      <c r="C328" s="288" t="s">
        <v>782</v>
      </c>
      <c r="D328" s="52" t="s">
        <v>783</v>
      </c>
      <c r="E328" s="52" t="s">
        <v>131</v>
      </c>
      <c r="F328" s="52" t="s">
        <v>131</v>
      </c>
      <c r="G328" s="52" t="str">
        <f>'Check list'!G38</f>
        <v>IP4000@EF041A-58</v>
      </c>
      <c r="H328" s="53" t="s">
        <v>175</v>
      </c>
      <c r="I328" s="52" t="s">
        <v>131</v>
      </c>
      <c r="J328" s="52" t="str">
        <f>'Check list'!$D$5&amp;"_58"</f>
        <v>EF041A_58</v>
      </c>
      <c r="K328" s="52" t="s">
        <v>131</v>
      </c>
      <c r="L328" s="52" t="s">
        <v>131</v>
      </c>
      <c r="M328" s="51" t="s">
        <v>146</v>
      </c>
      <c r="N328" s="52" t="str">
        <f>"ETD_V30002_"&amp;'Check list'!E7</f>
        <v>ETD_V30002_FR003WM2A001E001</v>
      </c>
      <c r="O328" s="79" t="s">
        <v>152</v>
      </c>
      <c r="P328" s="80">
        <v>460020</v>
      </c>
      <c r="Q328" s="100" t="s">
        <v>131</v>
      </c>
      <c r="R328" s="101" t="s">
        <v>131</v>
      </c>
      <c r="S328" s="102" t="s">
        <v>131</v>
      </c>
      <c r="T328" s="103" t="s">
        <v>131</v>
      </c>
    </row>
    <row r="329" s="11" customFormat="1" ht="14.4" spans="1:20">
      <c r="A329" s="50" t="str">
        <f t="shared" si="21"/>
        <v>FR003WM2A001E001</v>
      </c>
      <c r="B329" s="51" t="s">
        <v>92</v>
      </c>
      <c r="C329" s="288" t="s">
        <v>784</v>
      </c>
      <c r="D329" s="52" t="s">
        <v>785</v>
      </c>
      <c r="E329" s="52" t="s">
        <v>131</v>
      </c>
      <c r="F329" s="52" t="s">
        <v>131</v>
      </c>
      <c r="G329" s="52" t="str">
        <f>'Check list'!$D$5&amp;"/"&amp;'Check list'!$D$5&amp;"_V3_PH_B"</f>
        <v>EF041A/EF041A_V3_PH_B</v>
      </c>
      <c r="H329" s="53" t="s">
        <v>178</v>
      </c>
      <c r="I329" s="52" t="s">
        <v>131</v>
      </c>
      <c r="J329" s="52" t="s">
        <v>131</v>
      </c>
      <c r="K329" s="52" t="s">
        <v>131</v>
      </c>
      <c r="L329" s="52" t="s">
        <v>786</v>
      </c>
      <c r="M329" s="51"/>
      <c r="N329" s="52" t="s">
        <v>131</v>
      </c>
      <c r="O329" s="79" t="s">
        <v>243</v>
      </c>
      <c r="P329" s="80">
        <v>460020</v>
      </c>
      <c r="Q329" s="100" t="s">
        <v>131</v>
      </c>
      <c r="R329" s="101" t="s">
        <v>131</v>
      </c>
      <c r="S329" s="102" t="s">
        <v>131</v>
      </c>
      <c r="T329" s="103" t="s">
        <v>131</v>
      </c>
    </row>
    <row r="330" s="11" customFormat="1" ht="14.4" spans="1:20">
      <c r="A330" s="50" t="str">
        <f t="shared" si="21"/>
        <v>FR003WM2A001E001</v>
      </c>
      <c r="B330" s="51" t="s">
        <v>92</v>
      </c>
      <c r="C330" s="288" t="s">
        <v>787</v>
      </c>
      <c r="D330" s="52" t="s">
        <v>248</v>
      </c>
      <c r="E330" s="52" t="s">
        <v>131</v>
      </c>
      <c r="F330" s="52" t="s">
        <v>131</v>
      </c>
      <c r="G330" s="52" t="str">
        <f>"OVL"&amp;'Check list'!$D$5&amp;"-58"</f>
        <v>OVLEF041A-58</v>
      </c>
      <c r="H330" s="53" t="s">
        <v>249</v>
      </c>
      <c r="I330" s="52" t="s">
        <v>131</v>
      </c>
      <c r="J330" s="52" t="s">
        <v>131</v>
      </c>
      <c r="K330" s="52" t="s">
        <v>131</v>
      </c>
      <c r="L330" s="52" t="s">
        <v>788</v>
      </c>
      <c r="M330" s="51"/>
      <c r="N330" s="52" t="s">
        <v>131</v>
      </c>
      <c r="O330" s="79" t="s">
        <v>243</v>
      </c>
      <c r="P330" s="80">
        <v>460020</v>
      </c>
      <c r="Q330" s="100" t="s">
        <v>131</v>
      </c>
      <c r="R330" s="101" t="s">
        <v>131</v>
      </c>
      <c r="S330" s="102" t="s">
        <v>131</v>
      </c>
      <c r="T330" s="103" t="s">
        <v>131</v>
      </c>
    </row>
    <row r="331" s="11" customFormat="1" ht="14.4" spans="1:20">
      <c r="A331" s="50" t="str">
        <f t="shared" si="21"/>
        <v>FR003WM2A001E001</v>
      </c>
      <c r="B331" s="51" t="s">
        <v>92</v>
      </c>
      <c r="C331" s="288" t="s">
        <v>789</v>
      </c>
      <c r="D331" s="52" t="s">
        <v>185</v>
      </c>
      <c r="E331" s="52" t="s">
        <v>131</v>
      </c>
      <c r="F331" s="52" t="s">
        <v>131</v>
      </c>
      <c r="G331" s="52" t="s">
        <v>132</v>
      </c>
      <c r="H331" s="53" t="s">
        <v>186</v>
      </c>
      <c r="I331" s="52" t="s">
        <v>131</v>
      </c>
      <c r="J331" s="52" t="s">
        <v>131</v>
      </c>
      <c r="K331" s="52" t="s">
        <v>131</v>
      </c>
      <c r="L331" s="52" t="s">
        <v>131</v>
      </c>
      <c r="M331" s="51"/>
      <c r="N331" s="52" t="s">
        <v>131</v>
      </c>
      <c r="O331" s="79" t="s">
        <v>243</v>
      </c>
      <c r="P331" s="80">
        <v>460020</v>
      </c>
      <c r="Q331" s="100" t="s">
        <v>131</v>
      </c>
      <c r="R331" s="101" t="s">
        <v>131</v>
      </c>
      <c r="S331" s="102" t="s">
        <v>131</v>
      </c>
      <c r="T331" s="103" t="s">
        <v>131</v>
      </c>
    </row>
    <row r="332" s="11" customFormat="1" ht="14.4" spans="1:20">
      <c r="A332" s="50" t="str">
        <f t="shared" si="21"/>
        <v>FR003WM2A001E001</v>
      </c>
      <c r="B332" s="51" t="s">
        <v>92</v>
      </c>
      <c r="C332" s="288" t="s">
        <v>790</v>
      </c>
      <c r="D332" s="52" t="s">
        <v>791</v>
      </c>
      <c r="E332" s="52" t="str">
        <f>IF('Check list'!F9="AN","Etch V3 AlN "&amp;'Check list'!D38&amp;"nm,OE 30~60nm","Etch V3 "&amp;TEXT(('Check list'!D9),"0%")&amp;" AlScN "&amp;'Check list'!D38&amp;"nm,OE 30~60nm")</f>
        <v>Etch V3 AlN 1460nm,OE 30~60nm</v>
      </c>
      <c r="F332" s="52" t="s">
        <v>131</v>
      </c>
      <c r="G332" s="52" t="str">
        <f>'Check list'!I38</f>
        <v>ICP-V3AN1460</v>
      </c>
      <c r="H332" s="53" t="s">
        <v>254</v>
      </c>
      <c r="I332" s="52" t="s">
        <v>131</v>
      </c>
      <c r="J332" s="52" t="s">
        <v>131</v>
      </c>
      <c r="K332" s="52" t="s">
        <v>131</v>
      </c>
      <c r="L332" s="52" t="s">
        <v>131</v>
      </c>
      <c r="M332" s="51" t="s">
        <v>189</v>
      </c>
      <c r="N332" s="52" t="str">
        <f>"ETD_V30003_"&amp;'Check list'!E7</f>
        <v>ETD_V30003_FR003WM2A001E001</v>
      </c>
      <c r="O332" s="79"/>
      <c r="P332" s="80"/>
      <c r="Q332" s="100" t="s">
        <v>131</v>
      </c>
      <c r="R332" s="101" t="s">
        <v>131</v>
      </c>
      <c r="S332" s="102" t="s">
        <v>131</v>
      </c>
      <c r="T332" s="103" t="s">
        <v>131</v>
      </c>
    </row>
    <row r="333" s="11" customFormat="1" ht="14.4" spans="1:20">
      <c r="A333" s="50" t="str">
        <f t="shared" si="21"/>
        <v>FR003WM2A001E001</v>
      </c>
      <c r="B333" s="51" t="s">
        <v>92</v>
      </c>
      <c r="C333" s="288" t="s">
        <v>792</v>
      </c>
      <c r="D333" s="52" t="s">
        <v>196</v>
      </c>
      <c r="E333" s="52" t="s">
        <v>131</v>
      </c>
      <c r="F333" s="52" t="s">
        <v>131</v>
      </c>
      <c r="G333" s="52" t="s">
        <v>197</v>
      </c>
      <c r="H333" s="53" t="s">
        <v>198</v>
      </c>
      <c r="I333" s="52" t="s">
        <v>131</v>
      </c>
      <c r="J333" s="52" t="s">
        <v>131</v>
      </c>
      <c r="K333" s="52" t="s">
        <v>131</v>
      </c>
      <c r="L333" s="52" t="s">
        <v>131</v>
      </c>
      <c r="M333" s="51" t="s">
        <v>189</v>
      </c>
      <c r="N333" s="52" t="str">
        <f>"ETD_V30004_"&amp;'Check list'!E7</f>
        <v>ETD_V30004_FR003WM2A001E001</v>
      </c>
      <c r="O333" s="79" t="s">
        <v>793</v>
      </c>
      <c r="P333" s="80">
        <v>460140</v>
      </c>
      <c r="Q333" s="100" t="s">
        <v>131</v>
      </c>
      <c r="R333" s="101" t="s">
        <v>131</v>
      </c>
      <c r="S333" s="102" t="s">
        <v>131</v>
      </c>
      <c r="T333" s="103" t="s">
        <v>131</v>
      </c>
    </row>
    <row r="334" s="11" customFormat="1" ht="14.4" spans="1:20">
      <c r="A334" s="50" t="str">
        <f t="shared" si="21"/>
        <v>FR003WM2A001E001</v>
      </c>
      <c r="B334" s="51" t="s">
        <v>92</v>
      </c>
      <c r="C334" s="288" t="s">
        <v>794</v>
      </c>
      <c r="D334" s="52" t="s">
        <v>191</v>
      </c>
      <c r="E334" s="52" t="s">
        <v>131</v>
      </c>
      <c r="F334" s="52" t="s">
        <v>131</v>
      </c>
      <c r="G334" s="52" t="s">
        <v>258</v>
      </c>
      <c r="H334" s="53" t="s">
        <v>193</v>
      </c>
      <c r="I334" s="52" t="s">
        <v>131</v>
      </c>
      <c r="J334" s="52" t="s">
        <v>131</v>
      </c>
      <c r="K334" s="52" t="s">
        <v>131</v>
      </c>
      <c r="L334" s="52" t="s">
        <v>131</v>
      </c>
      <c r="M334" s="51" t="s">
        <v>189</v>
      </c>
      <c r="N334" s="52" t="str">
        <f>"ETD_V30005_"&amp;'Check list'!E7</f>
        <v>ETD_V30005_FR003WM2A001E001</v>
      </c>
      <c r="O334" s="79" t="s">
        <v>131</v>
      </c>
      <c r="P334" s="80"/>
      <c r="Q334" s="100" t="s">
        <v>131</v>
      </c>
      <c r="R334" s="101" t="s">
        <v>131</v>
      </c>
      <c r="S334" s="102" t="s">
        <v>131</v>
      </c>
      <c r="T334" s="103" t="s">
        <v>131</v>
      </c>
    </row>
    <row r="335" s="11" customFormat="1" ht="14.4" spans="1:20">
      <c r="A335" s="50" t="str">
        <f t="shared" si="21"/>
        <v>FR003WM2A001E001</v>
      </c>
      <c r="B335" s="51" t="s">
        <v>92</v>
      </c>
      <c r="C335" s="288" t="s">
        <v>795</v>
      </c>
      <c r="D335" s="52" t="s">
        <v>170</v>
      </c>
      <c r="E335" s="52" t="s">
        <v>131</v>
      </c>
      <c r="F335" s="52" t="s">
        <v>131</v>
      </c>
      <c r="G335" s="52" t="s">
        <v>171</v>
      </c>
      <c r="H335" s="53" t="s">
        <v>172</v>
      </c>
      <c r="I335" s="52" t="s">
        <v>131</v>
      </c>
      <c r="J335" s="52" t="s">
        <v>131</v>
      </c>
      <c r="K335" s="52" t="s">
        <v>131</v>
      </c>
      <c r="L335" s="52" t="s">
        <v>131</v>
      </c>
      <c r="M335" s="51" t="s">
        <v>131</v>
      </c>
      <c r="N335" s="52" t="s">
        <v>131</v>
      </c>
      <c r="O335" s="79" t="s">
        <v>131</v>
      </c>
      <c r="P335" s="80"/>
      <c r="Q335" s="100" t="s">
        <v>131</v>
      </c>
      <c r="R335" s="101" t="s">
        <v>131</v>
      </c>
      <c r="S335" s="102" t="s">
        <v>131</v>
      </c>
      <c r="T335" s="103" t="s">
        <v>131</v>
      </c>
    </row>
    <row r="336" s="11" customFormat="1" ht="14.4" spans="1:20">
      <c r="A336" s="50" t="str">
        <f t="shared" si="21"/>
        <v>FR003WM2A001E001</v>
      </c>
      <c r="B336" s="51" t="s">
        <v>92</v>
      </c>
      <c r="C336" s="288" t="s">
        <v>796</v>
      </c>
      <c r="D336" s="52" t="s">
        <v>797</v>
      </c>
      <c r="E336" s="52" t="s">
        <v>131</v>
      </c>
      <c r="F336" s="52" t="s">
        <v>131</v>
      </c>
      <c r="G336" s="52" t="str">
        <f>"PRF-"&amp;'Check list'!$D$5&amp;"V3"</f>
        <v>PRF-EF041AV3</v>
      </c>
      <c r="H336" s="53" t="s">
        <v>201</v>
      </c>
      <c r="I336" s="52" t="s">
        <v>131</v>
      </c>
      <c r="J336" s="52" t="s">
        <v>131</v>
      </c>
      <c r="K336" s="52" t="s">
        <v>131</v>
      </c>
      <c r="L336" s="52" t="s">
        <v>798</v>
      </c>
      <c r="M336" s="51" t="s">
        <v>131</v>
      </c>
      <c r="N336" s="52" t="s">
        <v>131</v>
      </c>
      <c r="O336" s="79" t="s">
        <v>799</v>
      </c>
      <c r="P336" s="80">
        <v>460140</v>
      </c>
      <c r="Q336" s="100" t="s">
        <v>131</v>
      </c>
      <c r="R336" s="101" t="s">
        <v>131</v>
      </c>
      <c r="S336" s="102" t="s">
        <v>131</v>
      </c>
      <c r="T336" s="103" t="s">
        <v>131</v>
      </c>
    </row>
    <row r="337" s="11" customFormat="1" ht="14.4" spans="1:20">
      <c r="A337" s="50" t="str">
        <f t="shared" si="21"/>
        <v>FR003WM2A001E001</v>
      </c>
      <c r="B337" s="51" t="s">
        <v>92</v>
      </c>
      <c r="C337" s="288" t="s">
        <v>800</v>
      </c>
      <c r="D337" s="52" t="s">
        <v>801</v>
      </c>
      <c r="E337" s="52" t="s">
        <v>131</v>
      </c>
      <c r="F337" s="52" t="s">
        <v>131</v>
      </c>
      <c r="G337" s="52" t="str">
        <f>'Check list'!$D$5&amp;"/"&amp;'Check list'!$D$5&amp;"_V3_ET_B"</f>
        <v>EF041A/EF041A_V3_ET_B</v>
      </c>
      <c r="H337" s="53" t="s">
        <v>178</v>
      </c>
      <c r="I337" s="52" t="s">
        <v>131</v>
      </c>
      <c r="J337" s="52" t="s">
        <v>131</v>
      </c>
      <c r="K337" s="52" t="s">
        <v>131</v>
      </c>
      <c r="L337" s="52" t="s">
        <v>802</v>
      </c>
      <c r="M337" s="51" t="s">
        <v>131</v>
      </c>
      <c r="N337" s="52" t="s">
        <v>131</v>
      </c>
      <c r="O337" s="79" t="s">
        <v>799</v>
      </c>
      <c r="P337" s="80">
        <v>460140</v>
      </c>
      <c r="Q337" s="100" t="s">
        <v>131</v>
      </c>
      <c r="R337" s="101" t="s">
        <v>131</v>
      </c>
      <c r="S337" s="102" t="s">
        <v>131</v>
      </c>
      <c r="T337" s="103" t="s">
        <v>131</v>
      </c>
    </row>
    <row r="338" s="11" customFormat="1" ht="14.4" spans="1:20">
      <c r="A338" s="50" t="s">
        <v>803</v>
      </c>
      <c r="B338" s="51" t="s">
        <v>92</v>
      </c>
      <c r="C338" s="288" t="s">
        <v>804</v>
      </c>
      <c r="D338" s="52" t="s">
        <v>212</v>
      </c>
      <c r="E338" s="52" t="s">
        <v>131</v>
      </c>
      <c r="F338" s="52" t="s">
        <v>131</v>
      </c>
      <c r="G338" s="52" t="s">
        <v>132</v>
      </c>
      <c r="H338" s="53" t="s">
        <v>186</v>
      </c>
      <c r="I338" s="52" t="s">
        <v>131</v>
      </c>
      <c r="J338" s="52" t="s">
        <v>131</v>
      </c>
      <c r="K338" s="52" t="s">
        <v>131</v>
      </c>
      <c r="L338" s="52" t="s">
        <v>131</v>
      </c>
      <c r="M338" s="51" t="s">
        <v>131</v>
      </c>
      <c r="N338" s="52" t="s">
        <v>131</v>
      </c>
      <c r="O338" s="79" t="s">
        <v>799</v>
      </c>
      <c r="P338" s="80">
        <v>460140</v>
      </c>
      <c r="Q338" s="100"/>
      <c r="R338" s="101"/>
      <c r="S338" s="102"/>
      <c r="T338" s="103"/>
    </row>
    <row r="339" s="11" customFormat="1" ht="14.4" spans="1:20">
      <c r="A339" s="50" t="str">
        <f>$E$3</f>
        <v>FR003WM2A001E001</v>
      </c>
      <c r="B339" s="51" t="s">
        <v>92</v>
      </c>
      <c r="C339" s="288" t="s">
        <v>805</v>
      </c>
      <c r="D339" s="52" t="s">
        <v>214</v>
      </c>
      <c r="E339" s="52" t="s">
        <v>131</v>
      </c>
      <c r="F339" s="52" t="s">
        <v>131</v>
      </c>
      <c r="G339" s="52" t="s">
        <v>132</v>
      </c>
      <c r="H339" s="53" t="s">
        <v>215</v>
      </c>
      <c r="I339" s="52" t="s">
        <v>131</v>
      </c>
      <c r="J339" s="52" t="s">
        <v>131</v>
      </c>
      <c r="K339" s="52" t="s">
        <v>131</v>
      </c>
      <c r="L339" s="52" t="s">
        <v>131</v>
      </c>
      <c r="M339" s="51" t="s">
        <v>131</v>
      </c>
      <c r="N339" s="52" t="s">
        <v>131</v>
      </c>
      <c r="O339" s="79" t="s">
        <v>216</v>
      </c>
      <c r="P339" s="80">
        <v>460260</v>
      </c>
      <c r="Q339" s="100" t="s">
        <v>131</v>
      </c>
      <c r="R339" s="101" t="s">
        <v>131</v>
      </c>
      <c r="S339" s="102" t="s">
        <v>131</v>
      </c>
      <c r="T339" s="103" t="s">
        <v>131</v>
      </c>
    </row>
    <row r="340" s="10" customFormat="1" ht="14.4" spans="1:20">
      <c r="A340" s="46" t="str">
        <f>$E$3</f>
        <v>FR003WM2A001E001</v>
      </c>
      <c r="B340" s="47" t="s">
        <v>806</v>
      </c>
      <c r="C340" s="285" t="s">
        <v>807</v>
      </c>
      <c r="D340" s="46" t="s">
        <v>808</v>
      </c>
      <c r="E340" s="47"/>
      <c r="F340" s="47" t="s">
        <v>131</v>
      </c>
      <c r="G340" s="46" t="s">
        <v>132</v>
      </c>
      <c r="H340" s="47" t="s">
        <v>809</v>
      </c>
      <c r="I340" s="47" t="s">
        <v>131</v>
      </c>
      <c r="J340" s="46" t="s">
        <v>131</v>
      </c>
      <c r="K340" s="47" t="s">
        <v>131</v>
      </c>
      <c r="L340" s="47"/>
      <c r="M340" s="178">
        <v>0.03125</v>
      </c>
      <c r="N340" s="47" t="s">
        <v>131</v>
      </c>
      <c r="O340" s="114" t="s">
        <v>131</v>
      </c>
      <c r="P340" s="179"/>
      <c r="Q340" s="46" t="s">
        <v>131</v>
      </c>
      <c r="R340" s="47" t="s">
        <v>131</v>
      </c>
      <c r="S340" s="47" t="s">
        <v>131</v>
      </c>
      <c r="T340" s="46" t="s">
        <v>131</v>
      </c>
    </row>
    <row r="341" s="10" customFormat="1" ht="14.4" spans="1:20">
      <c r="A341" s="46" t="str">
        <f>$E$3</f>
        <v>FR003WM2A001E001</v>
      </c>
      <c r="B341" s="47" t="s">
        <v>806</v>
      </c>
      <c r="C341" s="285" t="s">
        <v>810</v>
      </c>
      <c r="D341" s="46" t="s">
        <v>811</v>
      </c>
      <c r="E341" s="48" t="str">
        <f>"target wafer height "&amp;'Check list'!D39</f>
        <v>target wafer height 250um</v>
      </c>
      <c r="F341" s="47" t="s">
        <v>131</v>
      </c>
      <c r="G341" s="46" t="s">
        <v>812</v>
      </c>
      <c r="H341" s="47" t="s">
        <v>813</v>
      </c>
      <c r="I341" s="47" t="s">
        <v>131</v>
      </c>
      <c r="J341" s="46" t="s">
        <v>131</v>
      </c>
      <c r="K341" s="47" t="s">
        <v>131</v>
      </c>
      <c r="L341" s="47" t="s">
        <v>131</v>
      </c>
      <c r="M341" s="46" t="s">
        <v>131</v>
      </c>
      <c r="N341" s="47" t="s">
        <v>131</v>
      </c>
      <c r="O341" s="114" t="s">
        <v>131</v>
      </c>
      <c r="P341" s="179"/>
      <c r="Q341" s="46" t="s">
        <v>131</v>
      </c>
      <c r="R341" s="47" t="s">
        <v>131</v>
      </c>
      <c r="S341" s="47" t="s">
        <v>131</v>
      </c>
      <c r="T341" s="46" t="s">
        <v>131</v>
      </c>
    </row>
    <row r="342" s="10" customFormat="1" ht="14.4" spans="1:20">
      <c r="A342" s="46" t="str">
        <f>$E$3</f>
        <v>FR003WM2A001E001</v>
      </c>
      <c r="B342" s="47" t="s">
        <v>806</v>
      </c>
      <c r="C342" s="285" t="s">
        <v>814</v>
      </c>
      <c r="D342" s="46" t="s">
        <v>815</v>
      </c>
      <c r="E342" s="47"/>
      <c r="F342" s="47" t="s">
        <v>131</v>
      </c>
      <c r="G342" s="46" t="s">
        <v>132</v>
      </c>
      <c r="H342" s="47" t="s">
        <v>816</v>
      </c>
      <c r="I342" s="47" t="s">
        <v>131</v>
      </c>
      <c r="J342" s="46" t="s">
        <v>131</v>
      </c>
      <c r="K342" s="47" t="s">
        <v>131</v>
      </c>
      <c r="L342" s="47" t="s">
        <v>131</v>
      </c>
      <c r="M342" s="46" t="s">
        <v>131</v>
      </c>
      <c r="N342" s="47" t="s">
        <v>131</v>
      </c>
      <c r="O342" s="114" t="s">
        <v>131</v>
      </c>
      <c r="P342" s="179"/>
      <c r="Q342" s="46" t="s">
        <v>131</v>
      </c>
      <c r="R342" s="47" t="s">
        <v>131</v>
      </c>
      <c r="S342" s="47" t="s">
        <v>131</v>
      </c>
      <c r="T342" s="46" t="s">
        <v>131</v>
      </c>
    </row>
    <row r="343" s="10" customFormat="1" ht="14.4" spans="1:20">
      <c r="A343" s="46" t="str">
        <f>$E$3</f>
        <v>FR003WM2A001E001</v>
      </c>
      <c r="B343" s="47" t="s">
        <v>806</v>
      </c>
      <c r="C343" s="285" t="s">
        <v>817</v>
      </c>
      <c r="D343" s="168" t="s">
        <v>818</v>
      </c>
      <c r="E343" s="47" t="s">
        <v>819</v>
      </c>
      <c r="F343" s="47" t="s">
        <v>131</v>
      </c>
      <c r="G343" s="46" t="s">
        <v>132</v>
      </c>
      <c r="H343" s="47" t="s">
        <v>132</v>
      </c>
      <c r="I343" s="47" t="s">
        <v>131</v>
      </c>
      <c r="J343" s="46" t="s">
        <v>131</v>
      </c>
      <c r="K343" s="47" t="s">
        <v>131</v>
      </c>
      <c r="L343" s="47" t="s">
        <v>820</v>
      </c>
      <c r="M343" s="46" t="s">
        <v>131</v>
      </c>
      <c r="N343" s="47" t="s">
        <v>131</v>
      </c>
      <c r="O343" s="114" t="s">
        <v>131</v>
      </c>
      <c r="P343" s="179"/>
      <c r="Q343" s="46" t="s">
        <v>131</v>
      </c>
      <c r="R343" s="47" t="s">
        <v>131</v>
      </c>
      <c r="S343" s="47" t="s">
        <v>131</v>
      </c>
      <c r="T343" s="46" t="s">
        <v>131</v>
      </c>
    </row>
    <row r="344" s="10" customFormat="1" ht="14.4" spans="1:20">
      <c r="A344" s="46" t="str">
        <f>$E$3</f>
        <v>FR003WM2A001E001</v>
      </c>
      <c r="B344" s="47" t="s">
        <v>806</v>
      </c>
      <c r="C344" s="285" t="s">
        <v>821</v>
      </c>
      <c r="D344" s="46" t="s">
        <v>822</v>
      </c>
      <c r="E344" s="47" t="s">
        <v>823</v>
      </c>
      <c r="F344" s="47" t="s">
        <v>131</v>
      </c>
      <c r="G344" s="46" t="s">
        <v>132</v>
      </c>
      <c r="H344" s="47" t="s">
        <v>824</v>
      </c>
      <c r="I344" s="47" t="s">
        <v>131</v>
      </c>
      <c r="J344" s="46" t="s">
        <v>131</v>
      </c>
      <c r="K344" s="47" t="s">
        <v>131</v>
      </c>
      <c r="L344" s="47" t="s">
        <v>825</v>
      </c>
      <c r="M344" s="46" t="s">
        <v>131</v>
      </c>
      <c r="N344" s="47" t="s">
        <v>131</v>
      </c>
      <c r="O344" s="114" t="s">
        <v>131</v>
      </c>
      <c r="P344" s="179"/>
      <c r="Q344" s="46" t="s">
        <v>131</v>
      </c>
      <c r="R344" s="47" t="s">
        <v>131</v>
      </c>
      <c r="S344" s="47" t="s">
        <v>131</v>
      </c>
      <c r="T344" s="46" t="s">
        <v>131</v>
      </c>
    </row>
    <row r="345" s="10" customFormat="1" ht="14.4" spans="1:20">
      <c r="A345" s="46" t="str">
        <f>$E$3</f>
        <v>FR003WM2A001E001</v>
      </c>
      <c r="B345" s="47" t="s">
        <v>806</v>
      </c>
      <c r="C345" s="285" t="s">
        <v>826</v>
      </c>
      <c r="D345" s="46" t="s">
        <v>827</v>
      </c>
      <c r="E345" s="47"/>
      <c r="F345" s="47" t="s">
        <v>131</v>
      </c>
      <c r="G345" s="46" t="s">
        <v>132</v>
      </c>
      <c r="H345" s="47" t="s">
        <v>186</v>
      </c>
      <c r="I345" s="47" t="s">
        <v>131</v>
      </c>
      <c r="J345" s="46" t="s">
        <v>131</v>
      </c>
      <c r="K345" s="47" t="s">
        <v>131</v>
      </c>
      <c r="L345" s="47"/>
      <c r="M345" s="46" t="s">
        <v>131</v>
      </c>
      <c r="N345" s="47" t="s">
        <v>131</v>
      </c>
      <c r="O345" s="114" t="s">
        <v>131</v>
      </c>
      <c r="P345" s="179"/>
      <c r="Q345" s="46" t="s">
        <v>131</v>
      </c>
      <c r="R345" s="47" t="s">
        <v>131</v>
      </c>
      <c r="S345" s="47" t="s">
        <v>131</v>
      </c>
      <c r="T345" s="46" t="s">
        <v>131</v>
      </c>
    </row>
    <row r="346" s="19" customFormat="1" ht="14.4" spans="1:20">
      <c r="A346" s="169" t="str">
        <f>$E$3</f>
        <v>FR003WM2A001E001</v>
      </c>
      <c r="B346" s="170" t="s">
        <v>828</v>
      </c>
      <c r="C346" s="170" t="s">
        <v>829</v>
      </c>
      <c r="D346" s="169" t="s">
        <v>830</v>
      </c>
      <c r="E346" s="170"/>
      <c r="F346" s="170"/>
      <c r="G346" s="169" t="s">
        <v>132</v>
      </c>
      <c r="H346" s="170" t="s">
        <v>132</v>
      </c>
      <c r="I346" s="170"/>
      <c r="J346" s="169"/>
      <c r="K346" s="170"/>
      <c r="L346" s="170"/>
      <c r="M346" s="169"/>
      <c r="N346" s="170"/>
      <c r="O346" s="180"/>
      <c r="P346" s="181"/>
      <c r="Q346" s="169"/>
      <c r="R346" s="170"/>
      <c r="S346" s="170"/>
      <c r="T346" s="169"/>
    </row>
    <row r="347" s="19" customFormat="1" ht="14.4" spans="1:20">
      <c r="A347" s="169" t="str">
        <f>$E$3</f>
        <v>FR003WM2A001E001</v>
      </c>
      <c r="B347" s="170" t="s">
        <v>828</v>
      </c>
      <c r="C347" s="170" t="s">
        <v>831</v>
      </c>
      <c r="D347" s="169" t="s">
        <v>832</v>
      </c>
      <c r="E347" s="170"/>
      <c r="F347" s="170"/>
      <c r="G347" s="169">
        <v>2</v>
      </c>
      <c r="H347" s="170" t="s">
        <v>833</v>
      </c>
      <c r="I347" s="170"/>
      <c r="J347" s="169"/>
      <c r="K347" s="170"/>
      <c r="L347" s="170"/>
      <c r="M347" s="169"/>
      <c r="N347" s="170"/>
      <c r="O347" s="180"/>
      <c r="P347" s="181"/>
      <c r="Q347" s="169"/>
      <c r="R347" s="170"/>
      <c r="S347" s="170"/>
      <c r="T347" s="169"/>
    </row>
    <row r="348" s="19" customFormat="1" ht="14.4" spans="1:20">
      <c r="A348" s="169" t="str">
        <f>$E$3</f>
        <v>FR003WM2A001E001</v>
      </c>
      <c r="B348" s="170" t="s">
        <v>828</v>
      </c>
      <c r="C348" s="170" t="s">
        <v>834</v>
      </c>
      <c r="D348" s="169" t="s">
        <v>835</v>
      </c>
      <c r="E348" s="170"/>
      <c r="F348" s="170"/>
      <c r="G348" s="169" t="s">
        <v>836</v>
      </c>
      <c r="H348" s="170" t="s">
        <v>837</v>
      </c>
      <c r="I348" s="170"/>
      <c r="J348" s="169"/>
      <c r="K348" s="170"/>
      <c r="L348" s="170"/>
      <c r="M348" s="169"/>
      <c r="N348" s="170"/>
      <c r="O348" s="180"/>
      <c r="P348" s="181"/>
      <c r="Q348" s="169"/>
      <c r="R348" s="170"/>
      <c r="S348" s="170"/>
      <c r="T348" s="169"/>
    </row>
    <row r="349" s="19" customFormat="1" ht="14.4" spans="1:20">
      <c r="A349" s="169" t="str">
        <f>$E$3</f>
        <v>FR003WM2A001E001</v>
      </c>
      <c r="B349" s="170" t="s">
        <v>828</v>
      </c>
      <c r="C349" s="170" t="s">
        <v>838</v>
      </c>
      <c r="D349" s="169" t="s">
        <v>839</v>
      </c>
      <c r="E349" s="170"/>
      <c r="F349" s="170"/>
      <c r="G349" s="169">
        <v>3</v>
      </c>
      <c r="H349" s="170" t="s">
        <v>833</v>
      </c>
      <c r="I349" s="170"/>
      <c r="J349" s="169"/>
      <c r="K349" s="170"/>
      <c r="L349" s="170"/>
      <c r="M349" s="169"/>
      <c r="N349" s="170"/>
      <c r="O349" s="180"/>
      <c r="P349" s="181"/>
      <c r="Q349" s="169"/>
      <c r="R349" s="170"/>
      <c r="S349" s="170"/>
      <c r="T349" s="169"/>
    </row>
    <row r="350" s="19" customFormat="1" ht="14.4" spans="1:20">
      <c r="A350" s="169" t="str">
        <f>$E$3</f>
        <v>FR003WM2A001E001</v>
      </c>
      <c r="B350" s="170" t="s">
        <v>828</v>
      </c>
      <c r="C350" s="170" t="s">
        <v>840</v>
      </c>
      <c r="D350" s="169" t="s">
        <v>212</v>
      </c>
      <c r="E350" s="170"/>
      <c r="F350" s="170"/>
      <c r="G350" s="169" t="s">
        <v>132</v>
      </c>
      <c r="H350" s="170" t="s">
        <v>186</v>
      </c>
      <c r="I350" s="170"/>
      <c r="J350" s="169"/>
      <c r="K350" s="170"/>
      <c r="L350" s="170"/>
      <c r="M350" s="169"/>
      <c r="N350" s="170"/>
      <c r="O350" s="180" t="s">
        <v>841</v>
      </c>
      <c r="P350" s="181" t="s">
        <v>838</v>
      </c>
      <c r="Q350" s="169"/>
      <c r="R350" s="170"/>
      <c r="S350" s="170"/>
      <c r="T350" s="169"/>
    </row>
    <row r="351" s="12" customFormat="1" ht="14.4" spans="1:20">
      <c r="A351" s="128" t="str">
        <f>$E$3</f>
        <v>FR003WM2A001E001</v>
      </c>
      <c r="B351" s="129" t="s">
        <v>842</v>
      </c>
      <c r="C351" s="294" t="s">
        <v>843</v>
      </c>
      <c r="D351" s="128" t="s">
        <v>844</v>
      </c>
      <c r="E351" s="129" t="s">
        <v>845</v>
      </c>
      <c r="F351" s="129" t="s">
        <v>131</v>
      </c>
      <c r="G351" s="128" t="s">
        <v>132</v>
      </c>
      <c r="H351" s="129" t="s">
        <v>846</v>
      </c>
      <c r="I351" s="129" t="s">
        <v>131</v>
      </c>
      <c r="J351" s="128" t="s">
        <v>131</v>
      </c>
      <c r="K351" s="129" t="s">
        <v>131</v>
      </c>
      <c r="L351" s="130" t="s">
        <v>847</v>
      </c>
      <c r="M351" s="128" t="s">
        <v>131</v>
      </c>
      <c r="N351" s="129" t="s">
        <v>131</v>
      </c>
      <c r="O351" s="182" t="s">
        <v>131</v>
      </c>
      <c r="P351" s="183"/>
      <c r="Q351" s="128" t="s">
        <v>131</v>
      </c>
      <c r="R351" s="129" t="s">
        <v>131</v>
      </c>
      <c r="S351" s="129" t="s">
        <v>131</v>
      </c>
      <c r="T351" s="128" t="s">
        <v>131</v>
      </c>
    </row>
    <row r="352" s="12" customFormat="1" ht="14.4" spans="1:20">
      <c r="A352" s="128" t="str">
        <f>$E$3</f>
        <v>FR003WM2A001E001</v>
      </c>
      <c r="B352" s="129" t="s">
        <v>842</v>
      </c>
      <c r="C352" s="294" t="s">
        <v>848</v>
      </c>
      <c r="D352" s="128" t="s">
        <v>849</v>
      </c>
      <c r="E352" s="130" t="str">
        <f>"Frequency "&amp;'Check list'!D43&amp;" target "&amp;'Check list'!E43&amp;"MHz"&amp;"(A:"&amp;'Check list'!I43&amp;",B:"&amp;'Check list'!J43&amp;")"</f>
        <v>Frequency Center target 1822.5MHz(A:0.6,B:0.5)</v>
      </c>
      <c r="F352" s="129" t="s">
        <v>131</v>
      </c>
      <c r="G352" s="128" t="s">
        <v>132</v>
      </c>
      <c r="H352" s="129" t="s">
        <v>132</v>
      </c>
      <c r="I352" s="129" t="s">
        <v>131</v>
      </c>
      <c r="J352" s="128" t="s">
        <v>131</v>
      </c>
      <c r="K352" s="129" t="s">
        <v>131</v>
      </c>
      <c r="L352" s="129" t="s">
        <v>131</v>
      </c>
      <c r="M352" s="128" t="s">
        <v>131</v>
      </c>
      <c r="N352" s="129" t="s">
        <v>131</v>
      </c>
      <c r="O352" s="182" t="s">
        <v>131</v>
      </c>
      <c r="P352" s="183"/>
      <c r="Q352" s="128" t="s">
        <v>131</v>
      </c>
      <c r="R352" s="129" t="s">
        <v>131</v>
      </c>
      <c r="S352" s="129" t="s">
        <v>131</v>
      </c>
      <c r="T352" s="128" t="s">
        <v>131</v>
      </c>
    </row>
    <row r="353" s="12" customFormat="1" ht="14.4" spans="1:20">
      <c r="A353" s="128" t="str">
        <f>$E$3</f>
        <v>FR003WM2A001E001</v>
      </c>
      <c r="B353" s="129" t="s">
        <v>842</v>
      </c>
      <c r="C353" s="129" t="s">
        <v>850</v>
      </c>
      <c r="D353" s="128" t="s">
        <v>851</v>
      </c>
      <c r="E353" s="130"/>
      <c r="F353" s="129"/>
      <c r="G353" s="129" t="s">
        <v>132</v>
      </c>
      <c r="H353" s="128" t="s">
        <v>132</v>
      </c>
      <c r="I353" s="129"/>
      <c r="J353" s="128"/>
      <c r="K353" s="129"/>
      <c r="L353" s="129"/>
      <c r="M353" s="128"/>
      <c r="N353" s="129"/>
      <c r="O353" s="182"/>
      <c r="P353" s="183"/>
      <c r="Q353" s="128"/>
      <c r="R353" s="129"/>
      <c r="S353" s="129"/>
      <c r="T353" s="128"/>
    </row>
    <row r="354" s="12" customFormat="1" ht="14.4" spans="1:20">
      <c r="A354" s="128" t="str">
        <f>$E$3</f>
        <v>FR003WM2A001E001</v>
      </c>
      <c r="B354" s="129" t="s">
        <v>842</v>
      </c>
      <c r="C354" s="294" t="s">
        <v>852</v>
      </c>
      <c r="D354" s="128" t="s">
        <v>853</v>
      </c>
      <c r="E354" s="129"/>
      <c r="F354" s="129" t="s">
        <v>131</v>
      </c>
      <c r="G354" s="128" t="str">
        <f>'Check list'!I40</f>
        <v>TRM-AN300N-C</v>
      </c>
      <c r="H354" s="129" t="s">
        <v>414</v>
      </c>
      <c r="I354" s="129" t="s">
        <v>131</v>
      </c>
      <c r="J354" s="128" t="s">
        <v>131</v>
      </c>
      <c r="K354" s="129" t="s">
        <v>131</v>
      </c>
      <c r="L354" s="129" t="s">
        <v>131</v>
      </c>
      <c r="M354" s="128" t="s">
        <v>131</v>
      </c>
      <c r="N354" s="129" t="s">
        <v>131</v>
      </c>
      <c r="O354" s="182" t="s">
        <v>131</v>
      </c>
      <c r="P354" s="183"/>
      <c r="Q354" s="128" t="s">
        <v>131</v>
      </c>
      <c r="R354" s="129" t="s">
        <v>131</v>
      </c>
      <c r="S354" s="129" t="s">
        <v>131</v>
      </c>
      <c r="T354" s="128" t="s">
        <v>131</v>
      </c>
    </row>
    <row r="355" s="12" customFormat="1" ht="14.4" spans="1:20">
      <c r="A355" s="128" t="str">
        <f>$E$3</f>
        <v>FR003WM2A001E001</v>
      </c>
      <c r="B355" s="129" t="s">
        <v>842</v>
      </c>
      <c r="C355" s="294" t="s">
        <v>854</v>
      </c>
      <c r="D355" s="128" t="s">
        <v>855</v>
      </c>
      <c r="E355" s="129" t="s">
        <v>856</v>
      </c>
      <c r="F355" s="129" t="s">
        <v>131</v>
      </c>
      <c r="G355" s="128" t="s">
        <v>132</v>
      </c>
      <c r="H355" s="129" t="s">
        <v>846</v>
      </c>
      <c r="I355" s="129" t="s">
        <v>131</v>
      </c>
      <c r="J355" s="128" t="s">
        <v>131</v>
      </c>
      <c r="K355" s="129" t="s">
        <v>131</v>
      </c>
      <c r="L355" s="130" t="s">
        <v>857</v>
      </c>
      <c r="M355" s="128" t="s">
        <v>131</v>
      </c>
      <c r="N355" s="129" t="s">
        <v>131</v>
      </c>
      <c r="O355" s="182" t="s">
        <v>131</v>
      </c>
      <c r="P355" s="183"/>
      <c r="Q355" s="128" t="s">
        <v>131</v>
      </c>
      <c r="R355" s="129" t="s">
        <v>131</v>
      </c>
      <c r="S355" s="129" t="s">
        <v>131</v>
      </c>
      <c r="T355" s="128" t="s">
        <v>131</v>
      </c>
    </row>
    <row r="356" s="12" customFormat="1" ht="14.4" spans="1:20">
      <c r="A356" s="128" t="str">
        <f>$E$3</f>
        <v>FR003WM2A001E001</v>
      </c>
      <c r="B356" s="129" t="s">
        <v>842</v>
      </c>
      <c r="C356" s="294" t="s">
        <v>858</v>
      </c>
      <c r="D356" s="128" t="s">
        <v>859</v>
      </c>
      <c r="E356" s="128" t="str">
        <f>"Frequency "&amp;'Check list'!D43&amp;" target "&amp;'Check list'!F43&amp;"MHz"&amp;"(A:"&amp;'Check list'!I43&amp;",B:"&amp;'Check list'!J43&amp;")"</f>
        <v>Frequency Center target 1832.5MHz(A:0.6,B:0.5)</v>
      </c>
      <c r="F356" s="129"/>
      <c r="G356" s="129" t="s">
        <v>132</v>
      </c>
      <c r="H356" s="128" t="s">
        <v>132</v>
      </c>
      <c r="I356" s="128"/>
      <c r="J356" s="129"/>
      <c r="K356" s="129"/>
      <c r="L356" s="128"/>
      <c r="M356" s="128"/>
      <c r="N356" s="129"/>
      <c r="O356" s="182"/>
      <c r="P356" s="183"/>
      <c r="Q356" s="128"/>
      <c r="R356" s="128"/>
      <c r="S356" s="129"/>
      <c r="T356" s="129"/>
    </row>
    <row r="357" s="12" customFormat="1" ht="14.4" spans="1:20">
      <c r="A357" s="128" t="str">
        <f>$E$3</f>
        <v>FR003WM2A001E001</v>
      </c>
      <c r="B357" s="129" t="s">
        <v>842</v>
      </c>
      <c r="C357" s="129" t="s">
        <v>860</v>
      </c>
      <c r="D357" s="128" t="s">
        <v>861</v>
      </c>
      <c r="E357" s="128"/>
      <c r="F357" s="129"/>
      <c r="G357" s="129" t="s">
        <v>132</v>
      </c>
      <c r="H357" s="128" t="s">
        <v>132</v>
      </c>
      <c r="I357" s="128"/>
      <c r="J357" s="129"/>
      <c r="K357" s="129"/>
      <c r="L357" s="128"/>
      <c r="M357" s="128"/>
      <c r="N357" s="129"/>
      <c r="O357" s="182"/>
      <c r="P357" s="183"/>
      <c r="Q357" s="128"/>
      <c r="R357" s="128"/>
      <c r="S357" s="129"/>
      <c r="T357" s="129"/>
    </row>
    <row r="358" s="12" customFormat="1" ht="14.4" spans="1:20">
      <c r="A358" s="128" t="str">
        <f>$E$3</f>
        <v>FR003WM2A001E001</v>
      </c>
      <c r="B358" s="129" t="s">
        <v>842</v>
      </c>
      <c r="C358" s="294" t="s">
        <v>862</v>
      </c>
      <c r="D358" s="128" t="s">
        <v>863</v>
      </c>
      <c r="E358" s="128"/>
      <c r="F358" s="129"/>
      <c r="G358" s="130" t="str">
        <f>'Check list'!I40</f>
        <v>TRM-AN300N-C</v>
      </c>
      <c r="H358" s="128" t="s">
        <v>414</v>
      </c>
      <c r="I358" s="128"/>
      <c r="J358" s="129"/>
      <c r="K358" s="129"/>
      <c r="L358" s="128"/>
      <c r="M358" s="128"/>
      <c r="N358" s="129"/>
      <c r="O358" s="182"/>
      <c r="P358" s="183"/>
      <c r="Q358" s="128"/>
      <c r="R358" s="128"/>
      <c r="S358" s="129"/>
      <c r="T358" s="129"/>
    </row>
    <row r="359" s="12" customFormat="1" ht="14.4" spans="1:20">
      <c r="A359" s="128" t="str">
        <f>$E$3</f>
        <v>FR003WM2A001E001</v>
      </c>
      <c r="B359" s="129" t="s">
        <v>842</v>
      </c>
      <c r="C359" s="294" t="s">
        <v>864</v>
      </c>
      <c r="D359" s="128" t="s">
        <v>865</v>
      </c>
      <c r="E359" s="128" t="s">
        <v>866</v>
      </c>
      <c r="F359" s="129"/>
      <c r="G359" s="129" t="s">
        <v>132</v>
      </c>
      <c r="H359" s="128" t="s">
        <v>846</v>
      </c>
      <c r="I359" s="128"/>
      <c r="J359" s="129"/>
      <c r="K359" s="129"/>
      <c r="L359" s="130" t="s">
        <v>867</v>
      </c>
      <c r="M359" s="128"/>
      <c r="N359" s="129"/>
      <c r="O359" s="182"/>
      <c r="P359" s="183"/>
      <c r="Q359" s="128"/>
      <c r="R359" s="128"/>
      <c r="S359" s="129"/>
      <c r="T359" s="129"/>
    </row>
    <row r="360" s="12" customFormat="1" ht="14.4" spans="1:20">
      <c r="A360" s="128" t="str">
        <f>$E$3</f>
        <v>FR003WM2A001E001</v>
      </c>
      <c r="B360" s="129" t="s">
        <v>842</v>
      </c>
      <c r="C360" s="294" t="s">
        <v>868</v>
      </c>
      <c r="D360" s="128" t="s">
        <v>869</v>
      </c>
      <c r="E360" s="128" t="str">
        <f>"Frequency "&amp;'Check list'!D43&amp;" target "&amp;'Check list'!G43&amp;"MHz"&amp;"(A:"&amp;'Check list'!I43&amp;",B:"&amp;'Check list'!J43&amp;")"</f>
        <v>Frequency Center target 1842.5MHz(A:0.6,B:0.5)</v>
      </c>
      <c r="F360" s="129"/>
      <c r="G360" s="129" t="s">
        <v>132</v>
      </c>
      <c r="H360" s="128" t="s">
        <v>132</v>
      </c>
      <c r="I360" s="128"/>
      <c r="J360" s="129"/>
      <c r="K360" s="129"/>
      <c r="L360" s="128"/>
      <c r="M360" s="128"/>
      <c r="N360" s="129"/>
      <c r="O360" s="182"/>
      <c r="P360" s="183"/>
      <c r="Q360" s="128"/>
      <c r="R360" s="128"/>
      <c r="S360" s="129"/>
      <c r="T360" s="129"/>
    </row>
    <row r="361" s="12" customFormat="1" ht="14.4" spans="1:20">
      <c r="A361" s="128" t="str">
        <f>$E$3</f>
        <v>FR003WM2A001E001</v>
      </c>
      <c r="B361" s="129" t="s">
        <v>842</v>
      </c>
      <c r="C361" s="129" t="s">
        <v>870</v>
      </c>
      <c r="D361" s="128" t="s">
        <v>871</v>
      </c>
      <c r="E361" s="128"/>
      <c r="F361" s="129"/>
      <c r="G361" s="129" t="s">
        <v>132</v>
      </c>
      <c r="H361" s="128" t="s">
        <v>132</v>
      </c>
      <c r="I361" s="128"/>
      <c r="J361" s="129"/>
      <c r="K361" s="129"/>
      <c r="L361" s="128"/>
      <c r="M361" s="128"/>
      <c r="N361" s="129"/>
      <c r="O361" s="182"/>
      <c r="P361" s="183"/>
      <c r="Q361" s="128"/>
      <c r="R361" s="128"/>
      <c r="S361" s="129"/>
      <c r="T361" s="129"/>
    </row>
    <row r="362" s="12" customFormat="1" ht="14.4" spans="1:20">
      <c r="A362" s="128" t="str">
        <f>$E$3</f>
        <v>FR003WM2A001E001</v>
      </c>
      <c r="B362" s="129" t="s">
        <v>842</v>
      </c>
      <c r="C362" s="294" t="s">
        <v>872</v>
      </c>
      <c r="D362" s="128" t="s">
        <v>873</v>
      </c>
      <c r="E362" s="128"/>
      <c r="F362" s="129"/>
      <c r="G362" s="130" t="str">
        <f>'Check list'!I40</f>
        <v>TRM-AN300N-C</v>
      </c>
      <c r="H362" s="128" t="s">
        <v>414</v>
      </c>
      <c r="I362" s="128"/>
      <c r="J362" s="129"/>
      <c r="K362" s="129"/>
      <c r="L362" s="128"/>
      <c r="M362" s="128"/>
      <c r="N362" s="129"/>
      <c r="O362" s="182"/>
      <c r="P362" s="183"/>
      <c r="Q362" s="128"/>
      <c r="R362" s="128"/>
      <c r="S362" s="129"/>
      <c r="T362" s="129"/>
    </row>
    <row r="363" s="12" customFormat="1" ht="14.4" spans="1:20">
      <c r="A363" s="128" t="str">
        <f>$E$3</f>
        <v>FR003WM2A001E001</v>
      </c>
      <c r="B363" s="129" t="s">
        <v>842</v>
      </c>
      <c r="C363" s="294" t="s">
        <v>874</v>
      </c>
      <c r="D363" s="128" t="s">
        <v>875</v>
      </c>
      <c r="E363" s="128" t="s">
        <v>876</v>
      </c>
      <c r="F363" s="129"/>
      <c r="G363" s="129" t="s">
        <v>132</v>
      </c>
      <c r="H363" s="128" t="s">
        <v>846</v>
      </c>
      <c r="I363" s="128"/>
      <c r="J363" s="129"/>
      <c r="K363" s="129"/>
      <c r="L363" s="130" t="s">
        <v>877</v>
      </c>
      <c r="M363" s="128"/>
      <c r="N363" s="129"/>
      <c r="O363" s="182"/>
      <c r="P363" s="183"/>
      <c r="Q363" s="128"/>
      <c r="R363" s="128"/>
      <c r="S363" s="129"/>
      <c r="T363" s="129"/>
    </row>
    <row r="364" s="12" customFormat="1" ht="14.4" spans="1:20">
      <c r="A364" s="128" t="str">
        <f>$E$3</f>
        <v>FR003WM2A001E001</v>
      </c>
      <c r="B364" s="129" t="s">
        <v>842</v>
      </c>
      <c r="C364" s="294" t="s">
        <v>878</v>
      </c>
      <c r="D364" s="128" t="s">
        <v>879</v>
      </c>
      <c r="E364" s="128" t="str">
        <f>"Frequency "&amp;'Check list'!D43&amp;" target "&amp;'Check list'!H43&amp;"MHz"&amp;"(A:"&amp;'Check list'!I43&amp;",B:"&amp;'Check list'!J43&amp;")"</f>
        <v>Frequency Center target 2460MHz(A:0.6,B:0.5)</v>
      </c>
      <c r="F364" s="129"/>
      <c r="G364" s="129" t="s">
        <v>132</v>
      </c>
      <c r="H364" s="128" t="s">
        <v>132</v>
      </c>
      <c r="I364" s="128"/>
      <c r="J364" s="129"/>
      <c r="K364" s="129"/>
      <c r="L364" s="128"/>
      <c r="M364" s="128"/>
      <c r="N364" s="129"/>
      <c r="O364" s="182"/>
      <c r="P364" s="183"/>
      <c r="Q364" s="128"/>
      <c r="R364" s="128"/>
      <c r="S364" s="129"/>
      <c r="T364" s="129"/>
    </row>
    <row r="365" s="12" customFormat="1" ht="14.4" spans="1:20">
      <c r="A365" s="128" t="str">
        <f>$E$3</f>
        <v>FR003WM2A001E001</v>
      </c>
      <c r="B365" s="129" t="s">
        <v>842</v>
      </c>
      <c r="C365" s="129" t="s">
        <v>880</v>
      </c>
      <c r="D365" s="128" t="s">
        <v>881</v>
      </c>
      <c r="E365" s="128"/>
      <c r="F365" s="129"/>
      <c r="G365" s="129" t="s">
        <v>132</v>
      </c>
      <c r="H365" s="128" t="s">
        <v>132</v>
      </c>
      <c r="I365" s="128"/>
      <c r="J365" s="129"/>
      <c r="K365" s="129"/>
      <c r="L365" s="128"/>
      <c r="M365" s="128"/>
      <c r="N365" s="129"/>
      <c r="O365" s="182"/>
      <c r="P365" s="183"/>
      <c r="Q365" s="128"/>
      <c r="R365" s="128"/>
      <c r="S365" s="129"/>
      <c r="T365" s="129"/>
    </row>
    <row r="366" s="12" customFormat="1" ht="14.4" spans="1:20">
      <c r="A366" s="128" t="str">
        <f>$E$3</f>
        <v>FR003WM2A001E001</v>
      </c>
      <c r="B366" s="129" t="s">
        <v>842</v>
      </c>
      <c r="C366" s="294" t="s">
        <v>882</v>
      </c>
      <c r="D366" s="128" t="s">
        <v>883</v>
      </c>
      <c r="E366" s="128"/>
      <c r="F366" s="129"/>
      <c r="G366" s="130" t="str">
        <f>'Check list'!I40</f>
        <v>TRM-AN300N-C</v>
      </c>
      <c r="H366" s="128" t="s">
        <v>414</v>
      </c>
      <c r="I366" s="128"/>
      <c r="J366" s="129"/>
      <c r="K366" s="129"/>
      <c r="L366" s="128"/>
      <c r="M366" s="128"/>
      <c r="N366" s="129"/>
      <c r="O366" s="182"/>
      <c r="P366" s="183"/>
      <c r="Q366" s="128"/>
      <c r="R366" s="128"/>
      <c r="S366" s="129"/>
      <c r="T366" s="129"/>
    </row>
    <row r="367" s="12" customFormat="1" ht="14.4" spans="1:20">
      <c r="A367" s="128" t="str">
        <f t="shared" ref="A367:A372" si="22">$E$3</f>
        <v>FR003WM2A001E001</v>
      </c>
      <c r="B367" s="129" t="s">
        <v>842</v>
      </c>
      <c r="C367" s="294" t="s">
        <v>884</v>
      </c>
      <c r="D367" s="128" t="s">
        <v>885</v>
      </c>
      <c r="E367" s="128" t="s">
        <v>886</v>
      </c>
      <c r="F367" s="129"/>
      <c r="G367" s="129" t="s">
        <v>132</v>
      </c>
      <c r="H367" s="128" t="s">
        <v>846</v>
      </c>
      <c r="I367" s="128"/>
      <c r="J367" s="129"/>
      <c r="K367" s="129"/>
      <c r="L367" s="128" t="s">
        <v>887</v>
      </c>
      <c r="M367" s="128"/>
      <c r="N367" s="129"/>
      <c r="O367" s="182"/>
      <c r="P367" s="183"/>
      <c r="Q367" s="128"/>
      <c r="R367" s="128"/>
      <c r="S367" s="129"/>
      <c r="T367" s="129"/>
    </row>
    <row r="368" s="12" customFormat="1" ht="14.4" spans="1:20">
      <c r="A368" s="128" t="str">
        <f t="shared" si="22"/>
        <v>FR003WM2A001E001</v>
      </c>
      <c r="B368" s="129" t="s">
        <v>842</v>
      </c>
      <c r="C368" s="294" t="s">
        <v>888</v>
      </c>
      <c r="D368" s="128" t="s">
        <v>889</v>
      </c>
      <c r="E368" s="129"/>
      <c r="F368" s="129"/>
      <c r="G368" s="128" t="s">
        <v>132</v>
      </c>
      <c r="H368" s="129" t="s">
        <v>132</v>
      </c>
      <c r="I368" s="129"/>
      <c r="J368" s="128"/>
      <c r="K368" s="129"/>
      <c r="L368" s="129"/>
      <c r="M368" s="128"/>
      <c r="N368" s="129"/>
      <c r="O368" s="182" t="s">
        <v>890</v>
      </c>
      <c r="P368" s="183" t="s">
        <v>888</v>
      </c>
      <c r="Q368" s="128"/>
      <c r="R368" s="129"/>
      <c r="S368" s="129"/>
      <c r="T368" s="128"/>
    </row>
    <row r="369" s="9" customFormat="1" ht="14.4" spans="1:20">
      <c r="A369" s="42" t="str">
        <f t="shared" si="22"/>
        <v>FR003WM2A001E001</v>
      </c>
      <c r="B369" s="43" t="s">
        <v>891</v>
      </c>
      <c r="C369" s="282" t="s">
        <v>892</v>
      </c>
      <c r="D369" s="42" t="s">
        <v>893</v>
      </c>
      <c r="E369" s="43"/>
      <c r="F369" s="43"/>
      <c r="G369" s="42" t="s">
        <v>132</v>
      </c>
      <c r="H369" s="43" t="s">
        <v>132</v>
      </c>
      <c r="I369" s="43"/>
      <c r="J369" s="42"/>
      <c r="K369" s="43"/>
      <c r="L369" s="43"/>
      <c r="M369" s="42"/>
      <c r="N369" s="43"/>
      <c r="O369" s="113"/>
      <c r="P369" s="184"/>
      <c r="Q369" s="42"/>
      <c r="R369" s="43"/>
      <c r="S369" s="43"/>
      <c r="T369" s="42"/>
    </row>
    <row r="370" s="9" customFormat="1" ht="14.4" spans="1:20">
      <c r="A370" s="42" t="str">
        <f t="shared" si="22"/>
        <v>FR003WM2A001E001</v>
      </c>
      <c r="B370" s="43" t="s">
        <v>891</v>
      </c>
      <c r="C370" s="282" t="s">
        <v>894</v>
      </c>
      <c r="D370" s="42" t="s">
        <v>895</v>
      </c>
      <c r="E370" s="43"/>
      <c r="F370" s="43"/>
      <c r="G370" s="42" t="s">
        <v>132</v>
      </c>
      <c r="H370" s="43" t="s">
        <v>896</v>
      </c>
      <c r="I370" s="43"/>
      <c r="J370" s="42"/>
      <c r="K370" s="43"/>
      <c r="L370" s="43"/>
      <c r="M370" s="42"/>
      <c r="N370" s="43"/>
      <c r="O370" s="113"/>
      <c r="P370" s="184"/>
      <c r="Q370" s="42"/>
      <c r="R370" s="43"/>
      <c r="S370" s="43"/>
      <c r="T370" s="42"/>
    </row>
    <row r="371" s="9" customFormat="1" ht="14.4" spans="1:20">
      <c r="A371" s="42" t="str">
        <f t="shared" si="22"/>
        <v>FR003WM2A001E001</v>
      </c>
      <c r="B371" s="43" t="s">
        <v>891</v>
      </c>
      <c r="C371" s="282" t="s">
        <v>897</v>
      </c>
      <c r="D371" s="42" t="s">
        <v>898</v>
      </c>
      <c r="E371" s="43"/>
      <c r="F371" s="43"/>
      <c r="G371" s="42" t="s">
        <v>132</v>
      </c>
      <c r="H371" s="43" t="s">
        <v>132</v>
      </c>
      <c r="I371" s="43"/>
      <c r="J371" s="42"/>
      <c r="K371" s="43"/>
      <c r="L371" s="43"/>
      <c r="M371" s="42"/>
      <c r="N371" s="43"/>
      <c r="O371" s="113"/>
      <c r="P371" s="184"/>
      <c r="Q371" s="42"/>
      <c r="R371" s="43"/>
      <c r="S371" s="43"/>
      <c r="T371" s="42"/>
    </row>
    <row r="372" s="8" customFormat="1" ht="14.4" spans="1:20">
      <c r="A372" s="36" t="str">
        <f t="shared" si="22"/>
        <v>FR003WM2A001E001</v>
      </c>
      <c r="B372" s="37" t="s">
        <v>899</v>
      </c>
      <c r="C372" s="281" t="s">
        <v>900</v>
      </c>
      <c r="D372" s="39" t="s">
        <v>899</v>
      </c>
      <c r="E372" s="36"/>
      <c r="F372" s="37"/>
      <c r="G372" s="41" t="s">
        <v>132</v>
      </c>
      <c r="H372" s="39" t="s">
        <v>132</v>
      </c>
      <c r="I372" s="36"/>
      <c r="J372" s="37"/>
      <c r="K372" s="41"/>
      <c r="L372" s="39"/>
      <c r="M372" s="36"/>
      <c r="N372" s="37"/>
      <c r="O372" s="185"/>
      <c r="P372" s="186"/>
      <c r="Q372" s="39"/>
      <c r="R372" s="36"/>
      <c r="S372" s="37"/>
      <c r="T372" s="41"/>
    </row>
    <row r="373" s="8" customFormat="1" ht="18" customHeight="1" spans="1:20">
      <c r="A373" s="171" t="s">
        <v>901</v>
      </c>
      <c r="B373" s="172"/>
      <c r="C373" s="172"/>
      <c r="D373" s="172"/>
      <c r="E373" s="173"/>
      <c r="F373" s="39"/>
      <c r="G373" s="39"/>
      <c r="H373" s="40"/>
      <c r="I373" s="39"/>
      <c r="J373" s="39"/>
      <c r="K373" s="39"/>
      <c r="L373" s="39"/>
      <c r="M373" s="41"/>
      <c r="N373" s="39"/>
      <c r="O373" s="69"/>
      <c r="P373" s="70"/>
      <c r="Q373" s="189"/>
      <c r="R373" s="190"/>
      <c r="S373" s="90"/>
      <c r="T373" s="91"/>
    </row>
    <row r="374" s="8" customFormat="1" ht="17.1" customHeight="1" spans="1:20">
      <c r="A374" s="174"/>
      <c r="B374" s="174"/>
      <c r="C374" s="174"/>
      <c r="D374" s="174"/>
      <c r="E374" s="175"/>
      <c r="F374" s="39"/>
      <c r="G374" s="39"/>
      <c r="H374" s="39"/>
      <c r="I374" s="187"/>
      <c r="J374" s="39"/>
      <c r="K374" s="39"/>
      <c r="L374" s="39"/>
      <c r="M374" s="41"/>
      <c r="N374" s="39"/>
      <c r="O374" s="69"/>
      <c r="P374" s="70"/>
      <c r="Q374" s="189"/>
      <c r="R374" s="190"/>
      <c r="S374" s="91"/>
      <c r="T374" s="91"/>
    </row>
    <row r="375" s="8" customFormat="1" ht="14.4" spans="1:20">
      <c r="A375" s="33" t="s">
        <v>108</v>
      </c>
      <c r="B375" s="34" t="s">
        <v>109</v>
      </c>
      <c r="C375" s="34" t="s">
        <v>110</v>
      </c>
      <c r="D375" s="33" t="s">
        <v>111</v>
      </c>
      <c r="E375" s="35" t="s">
        <v>112</v>
      </c>
      <c r="F375" s="35" t="s">
        <v>113</v>
      </c>
      <c r="G375" s="33" t="s">
        <v>902</v>
      </c>
      <c r="H375" s="33" t="s">
        <v>903</v>
      </c>
      <c r="I375" s="66" t="s">
        <v>116</v>
      </c>
      <c r="J375" s="35" t="s">
        <v>117</v>
      </c>
      <c r="K375" s="35" t="s">
        <v>118</v>
      </c>
      <c r="L375" s="35" t="s">
        <v>119</v>
      </c>
      <c r="M375" s="67" t="s">
        <v>120</v>
      </c>
      <c r="N375" s="35" t="s">
        <v>121</v>
      </c>
      <c r="O375" s="33" t="s">
        <v>122</v>
      </c>
      <c r="P375" s="68"/>
      <c r="Q375" s="35" t="s">
        <v>124</v>
      </c>
      <c r="R375" s="191" t="s">
        <v>125</v>
      </c>
      <c r="S375" s="87" t="s">
        <v>126</v>
      </c>
      <c r="T375" s="87" t="s">
        <v>127</v>
      </c>
    </row>
    <row r="376" s="20" customFormat="1" ht="14.4" spans="1:20">
      <c r="A376" s="40" t="s">
        <v>152</v>
      </c>
      <c r="B376" s="41" t="s">
        <v>152</v>
      </c>
      <c r="C376" s="41" t="s">
        <v>904</v>
      </c>
      <c r="D376" s="39" t="s">
        <v>905</v>
      </c>
      <c r="E376" s="39" t="s">
        <v>131</v>
      </c>
      <c r="F376" s="39"/>
      <c r="G376" s="39" t="s">
        <v>132</v>
      </c>
      <c r="H376" s="40" t="s">
        <v>132</v>
      </c>
      <c r="I376" s="39"/>
      <c r="J376" s="39"/>
      <c r="K376" s="39"/>
      <c r="L376" s="39"/>
      <c r="M376" s="41"/>
      <c r="N376" s="39"/>
      <c r="O376" s="69"/>
      <c r="P376" s="188"/>
      <c r="Q376" s="69"/>
      <c r="R376" s="192"/>
      <c r="S376" s="90"/>
      <c r="T376" s="91"/>
    </row>
    <row r="377" s="20" customFormat="1" ht="14.4" spans="1:20">
      <c r="A377" s="40" t="s">
        <v>180</v>
      </c>
      <c r="B377" s="41" t="s">
        <v>180</v>
      </c>
      <c r="C377" s="41" t="s">
        <v>906</v>
      </c>
      <c r="D377" s="39" t="s">
        <v>191</v>
      </c>
      <c r="E377" s="39" t="s">
        <v>131</v>
      </c>
      <c r="F377" s="39" t="s">
        <v>131</v>
      </c>
      <c r="G377" s="39" t="s">
        <v>192</v>
      </c>
      <c r="H377" s="40" t="s">
        <v>193</v>
      </c>
      <c r="I377" s="39"/>
      <c r="J377" s="39"/>
      <c r="K377" s="39"/>
      <c r="L377" s="39"/>
      <c r="M377" s="41"/>
      <c r="N377" s="39"/>
      <c r="O377" s="69"/>
      <c r="P377" s="188"/>
      <c r="Q377" s="69"/>
      <c r="R377" s="192"/>
      <c r="S377" s="90"/>
      <c r="T377" s="91"/>
    </row>
    <row r="378" s="20" customFormat="1" ht="14.4" spans="1:20">
      <c r="A378" s="40" t="s">
        <v>180</v>
      </c>
      <c r="B378" s="41" t="s">
        <v>180</v>
      </c>
      <c r="C378" s="41" t="s">
        <v>907</v>
      </c>
      <c r="D378" s="39" t="s">
        <v>196</v>
      </c>
      <c r="E378" s="39" t="s">
        <v>131</v>
      </c>
      <c r="F378" s="39" t="s">
        <v>131</v>
      </c>
      <c r="G378" s="39" t="s">
        <v>197</v>
      </c>
      <c r="H378" s="40" t="s">
        <v>198</v>
      </c>
      <c r="I378" s="39"/>
      <c r="J378" s="39"/>
      <c r="K378" s="39"/>
      <c r="L378" s="39"/>
      <c r="M378" s="41"/>
      <c r="N378" s="39"/>
      <c r="O378" s="69"/>
      <c r="P378" s="188"/>
      <c r="Q378" s="69"/>
      <c r="R378" s="192"/>
      <c r="S378" s="90"/>
      <c r="T378" s="91"/>
    </row>
    <row r="379" s="20" customFormat="1" ht="14.4" spans="1:20">
      <c r="A379" s="40" t="s">
        <v>243</v>
      </c>
      <c r="B379" s="41" t="s">
        <v>243</v>
      </c>
      <c r="C379" s="41" t="s">
        <v>908</v>
      </c>
      <c r="D379" s="39" t="s">
        <v>196</v>
      </c>
      <c r="E379" s="39" t="s">
        <v>131</v>
      </c>
      <c r="F379" s="39" t="s">
        <v>131</v>
      </c>
      <c r="G379" s="39" t="s">
        <v>197</v>
      </c>
      <c r="H379" s="40" t="s">
        <v>198</v>
      </c>
      <c r="I379" s="39"/>
      <c r="J379" s="39"/>
      <c r="K379" s="39"/>
      <c r="L379" s="39"/>
      <c r="M379" s="41"/>
      <c r="N379" s="39"/>
      <c r="O379" s="69"/>
      <c r="P379" s="188"/>
      <c r="Q379" s="69"/>
      <c r="R379" s="192"/>
      <c r="S379" s="90"/>
      <c r="T379" s="91"/>
    </row>
    <row r="380" s="20" customFormat="1" ht="14.4" spans="1:20">
      <c r="A380" s="40" t="s">
        <v>243</v>
      </c>
      <c r="B380" s="41" t="s">
        <v>243</v>
      </c>
      <c r="C380" s="41" t="s">
        <v>909</v>
      </c>
      <c r="D380" s="39" t="s">
        <v>191</v>
      </c>
      <c r="E380" s="39" t="s">
        <v>131</v>
      </c>
      <c r="F380" s="39" t="s">
        <v>131</v>
      </c>
      <c r="G380" s="39" t="s">
        <v>258</v>
      </c>
      <c r="H380" s="40" t="s">
        <v>193</v>
      </c>
      <c r="I380" s="39"/>
      <c r="J380" s="39"/>
      <c r="K380" s="39"/>
      <c r="L380" s="39"/>
      <c r="M380" s="41"/>
      <c r="N380" s="39"/>
      <c r="O380" s="69"/>
      <c r="P380" s="188"/>
      <c r="Q380" s="69"/>
      <c r="R380" s="192"/>
      <c r="S380" s="90"/>
      <c r="T380" s="91"/>
    </row>
    <row r="381" s="20" customFormat="1" ht="14.4" spans="1:20">
      <c r="A381" s="40" t="s">
        <v>216</v>
      </c>
      <c r="B381" s="41" t="s">
        <v>216</v>
      </c>
      <c r="C381" s="41" t="s">
        <v>910</v>
      </c>
      <c r="D381" s="39" t="s">
        <v>191</v>
      </c>
      <c r="E381" s="39"/>
      <c r="F381" s="39"/>
      <c r="G381" s="39" t="s">
        <v>258</v>
      </c>
      <c r="H381" s="40" t="s">
        <v>193</v>
      </c>
      <c r="I381" s="39"/>
      <c r="J381" s="39"/>
      <c r="K381" s="39"/>
      <c r="L381" s="39"/>
      <c r="M381" s="41"/>
      <c r="N381" s="39"/>
      <c r="O381" s="69"/>
      <c r="P381" s="188"/>
      <c r="Q381" s="69"/>
      <c r="R381" s="192"/>
      <c r="S381" s="90"/>
      <c r="T381" s="91"/>
    </row>
    <row r="382" s="20" customFormat="1" ht="14.4" spans="1:20">
      <c r="A382" s="40" t="s">
        <v>216</v>
      </c>
      <c r="B382" s="41" t="s">
        <v>216</v>
      </c>
      <c r="C382" s="41" t="s">
        <v>911</v>
      </c>
      <c r="D382" s="39" t="s">
        <v>170</v>
      </c>
      <c r="E382" s="39"/>
      <c r="F382" s="39"/>
      <c r="G382" s="39" t="s">
        <v>171</v>
      </c>
      <c r="H382" s="40" t="s">
        <v>172</v>
      </c>
      <c r="I382" s="39"/>
      <c r="J382" s="39"/>
      <c r="K382" s="39"/>
      <c r="L382" s="39"/>
      <c r="M382" s="41"/>
      <c r="N382" s="39"/>
      <c r="O382" s="69"/>
      <c r="P382" s="188"/>
      <c r="Q382" s="69"/>
      <c r="R382" s="192"/>
      <c r="S382" s="90"/>
      <c r="T382" s="91"/>
    </row>
    <row r="383" s="20" customFormat="1" ht="14.4" spans="1:20">
      <c r="A383" s="40" t="s">
        <v>776</v>
      </c>
      <c r="B383" s="41" t="s">
        <v>776</v>
      </c>
      <c r="C383" s="41" t="s">
        <v>912</v>
      </c>
      <c r="D383" s="39" t="s">
        <v>913</v>
      </c>
      <c r="E383" s="39"/>
      <c r="F383" s="39"/>
      <c r="G383" s="176">
        <v>3</v>
      </c>
      <c r="H383" s="40" t="s">
        <v>768</v>
      </c>
      <c r="I383" s="39"/>
      <c r="J383" s="39"/>
      <c r="K383" s="39"/>
      <c r="L383" s="39"/>
      <c r="M383" s="41"/>
      <c r="N383" s="39"/>
      <c r="O383" s="69"/>
      <c r="P383" s="188"/>
      <c r="Q383" s="69"/>
      <c r="R383" s="192"/>
      <c r="S383" s="90"/>
      <c r="T383" s="91"/>
    </row>
    <row r="384" s="20" customFormat="1" ht="14.4" spans="1:20">
      <c r="A384" s="40" t="s">
        <v>194</v>
      </c>
      <c r="B384" s="177" t="s">
        <v>194</v>
      </c>
      <c r="C384" s="41" t="s">
        <v>914</v>
      </c>
      <c r="D384" s="39" t="s">
        <v>915</v>
      </c>
      <c r="E384" s="39"/>
      <c r="F384" s="39" t="s">
        <v>131</v>
      </c>
      <c r="G384" s="39" t="s">
        <v>916</v>
      </c>
      <c r="H384" s="40" t="s">
        <v>155</v>
      </c>
      <c r="I384" s="39"/>
      <c r="J384" s="39"/>
      <c r="K384" s="39"/>
      <c r="L384" s="39"/>
      <c r="M384" s="41"/>
      <c r="N384" s="39"/>
      <c r="O384" s="69"/>
      <c r="P384" s="188"/>
      <c r="Q384" s="69"/>
      <c r="R384" s="192"/>
      <c r="S384" s="90"/>
      <c r="T384" s="91"/>
    </row>
    <row r="385" s="20" customFormat="1" ht="14.4" spans="1:20">
      <c r="A385" s="40" t="s">
        <v>256</v>
      </c>
      <c r="B385" s="177" t="s">
        <v>256</v>
      </c>
      <c r="C385" s="41" t="s">
        <v>917</v>
      </c>
      <c r="D385" s="39" t="s">
        <v>918</v>
      </c>
      <c r="E385" s="39"/>
      <c r="F385" s="39" t="s">
        <v>131</v>
      </c>
      <c r="G385" s="39" t="s">
        <v>919</v>
      </c>
      <c r="H385" s="40" t="s">
        <v>254</v>
      </c>
      <c r="I385" s="39"/>
      <c r="J385" s="39"/>
      <c r="K385" s="39"/>
      <c r="L385" s="39"/>
      <c r="M385" s="41"/>
      <c r="N385" s="39"/>
      <c r="O385" s="69"/>
      <c r="P385" s="188"/>
      <c r="Q385" s="69"/>
      <c r="R385" s="192"/>
      <c r="S385" s="90"/>
      <c r="T385" s="91"/>
    </row>
    <row r="386" s="20" customFormat="1" ht="14.4" spans="1:20">
      <c r="A386" s="40" t="s">
        <v>314</v>
      </c>
      <c r="B386" s="177" t="s">
        <v>314</v>
      </c>
      <c r="C386" s="41" t="s">
        <v>920</v>
      </c>
      <c r="D386" s="39" t="s">
        <v>921</v>
      </c>
      <c r="E386" s="39"/>
      <c r="F386" s="39" t="s">
        <v>131</v>
      </c>
      <c r="G386" s="39" t="s">
        <v>922</v>
      </c>
      <c r="H386" s="40" t="s">
        <v>254</v>
      </c>
      <c r="I386" s="39"/>
      <c r="J386" s="39"/>
      <c r="K386" s="39"/>
      <c r="L386" s="39"/>
      <c r="M386" s="41"/>
      <c r="N386" s="39"/>
      <c r="O386" s="69"/>
      <c r="P386" s="188"/>
      <c r="Q386" s="69"/>
      <c r="R386" s="192"/>
      <c r="S386" s="90"/>
      <c r="T386" s="91"/>
    </row>
    <row r="387" s="20" customFormat="1" ht="14.4" spans="1:20">
      <c r="A387" s="40" t="s">
        <v>378</v>
      </c>
      <c r="B387" s="177" t="s">
        <v>378</v>
      </c>
      <c r="C387" s="41" t="s">
        <v>923</v>
      </c>
      <c r="D387" s="39" t="s">
        <v>924</v>
      </c>
      <c r="E387" s="39"/>
      <c r="F387" s="39" t="s">
        <v>131</v>
      </c>
      <c r="G387" s="39" t="s">
        <v>925</v>
      </c>
      <c r="H387" s="40" t="s">
        <v>254</v>
      </c>
      <c r="I387" s="39"/>
      <c r="J387" s="39"/>
      <c r="K387" s="39"/>
      <c r="L387" s="39"/>
      <c r="M387" s="41"/>
      <c r="N387" s="39"/>
      <c r="O387" s="69"/>
      <c r="P387" s="188"/>
      <c r="Q387" s="69"/>
      <c r="R387" s="192"/>
      <c r="S387" s="90"/>
      <c r="T387" s="91"/>
    </row>
    <row r="388" s="20" customFormat="1" ht="14.4" spans="1:20">
      <c r="A388" s="40" t="s">
        <v>666</v>
      </c>
      <c r="B388" s="177" t="s">
        <v>666</v>
      </c>
      <c r="C388" s="41" t="s">
        <v>926</v>
      </c>
      <c r="D388" s="39" t="s">
        <v>927</v>
      </c>
      <c r="E388" s="39"/>
      <c r="F388" s="39" t="s">
        <v>131</v>
      </c>
      <c r="G388" s="39" t="s">
        <v>928</v>
      </c>
      <c r="H388" s="40" t="s">
        <v>254</v>
      </c>
      <c r="I388" s="39"/>
      <c r="J388" s="39"/>
      <c r="K388" s="39"/>
      <c r="L388" s="39"/>
      <c r="M388" s="41"/>
      <c r="N388" s="39"/>
      <c r="O388" s="69"/>
      <c r="P388" s="188"/>
      <c r="Q388" s="69"/>
      <c r="R388" s="192"/>
      <c r="S388" s="90"/>
      <c r="T388" s="91"/>
    </row>
    <row r="389" s="20" customFormat="1" ht="14.4" spans="1:20">
      <c r="A389" s="40" t="s">
        <v>707</v>
      </c>
      <c r="B389" s="177" t="s">
        <v>707</v>
      </c>
      <c r="C389" s="41" t="s">
        <v>929</v>
      </c>
      <c r="D389" s="39" t="s">
        <v>930</v>
      </c>
      <c r="E389" s="39"/>
      <c r="F389" s="39"/>
      <c r="G389" s="39" t="s">
        <v>928</v>
      </c>
      <c r="H389" s="40" t="s">
        <v>254</v>
      </c>
      <c r="I389" s="39"/>
      <c r="J389" s="39"/>
      <c r="K389" s="39"/>
      <c r="L389" s="39"/>
      <c r="M389" s="41"/>
      <c r="N389" s="39"/>
      <c r="O389" s="69"/>
      <c r="P389" s="188"/>
      <c r="Q389" s="69"/>
      <c r="R389" s="192"/>
      <c r="S389" s="90"/>
      <c r="T389" s="91"/>
    </row>
    <row r="390" s="20" customFormat="1" ht="14.4" spans="1:20">
      <c r="A390" s="40" t="s">
        <v>734</v>
      </c>
      <c r="B390" s="177" t="s">
        <v>734</v>
      </c>
      <c r="C390" s="41" t="s">
        <v>931</v>
      </c>
      <c r="D390" s="39" t="s">
        <v>932</v>
      </c>
      <c r="E390" s="39"/>
      <c r="F390" s="39" t="s">
        <v>131</v>
      </c>
      <c r="G390" s="39" t="s">
        <v>933</v>
      </c>
      <c r="H390" s="40" t="s">
        <v>254</v>
      </c>
      <c r="I390" s="39"/>
      <c r="J390" s="39"/>
      <c r="K390" s="39"/>
      <c r="L390" s="39"/>
      <c r="M390" s="41"/>
      <c r="N390" s="39"/>
      <c r="O390" s="69"/>
      <c r="P390" s="188"/>
      <c r="Q390" s="69"/>
      <c r="R390" s="192"/>
      <c r="S390" s="90"/>
      <c r="T390" s="91"/>
    </row>
    <row r="391" s="20" customFormat="1" ht="14.4" spans="1:20">
      <c r="A391" s="40" t="s">
        <v>841</v>
      </c>
      <c r="B391" s="177" t="s">
        <v>841</v>
      </c>
      <c r="C391" s="41" t="s">
        <v>934</v>
      </c>
      <c r="D391" s="39" t="s">
        <v>832</v>
      </c>
      <c r="E391" s="39"/>
      <c r="F391" s="39" t="s">
        <v>131</v>
      </c>
      <c r="G391" s="39" t="s">
        <v>935</v>
      </c>
      <c r="H391" s="40" t="s">
        <v>833</v>
      </c>
      <c r="I391" s="39"/>
      <c r="J391" s="39"/>
      <c r="K391" s="39"/>
      <c r="L391" s="39"/>
      <c r="M391" s="41"/>
      <c r="N391" s="39"/>
      <c r="O391" s="69"/>
      <c r="P391" s="188"/>
      <c r="Q391" s="69"/>
      <c r="R391" s="192"/>
      <c r="S391" s="90"/>
      <c r="T391" s="91"/>
    </row>
    <row r="392" s="20" customFormat="1" ht="14.4" spans="1:20">
      <c r="A392" s="40" t="s">
        <v>841</v>
      </c>
      <c r="B392" s="177" t="s">
        <v>841</v>
      </c>
      <c r="C392" s="41" t="s">
        <v>936</v>
      </c>
      <c r="D392" s="39" t="s">
        <v>835</v>
      </c>
      <c r="E392" s="39"/>
      <c r="F392" s="39" t="s">
        <v>131</v>
      </c>
      <c r="G392" s="39" t="s">
        <v>937</v>
      </c>
      <c r="H392" s="40" t="s">
        <v>837</v>
      </c>
      <c r="I392" s="39"/>
      <c r="J392" s="39"/>
      <c r="K392" s="39"/>
      <c r="L392" s="39"/>
      <c r="M392" s="41"/>
      <c r="N392" s="39"/>
      <c r="O392" s="69"/>
      <c r="P392" s="188"/>
      <c r="Q392" s="69"/>
      <c r="R392" s="192"/>
      <c r="S392" s="90"/>
      <c r="T392" s="91"/>
    </row>
    <row r="393" s="20" customFormat="1" ht="14.4" spans="1:20">
      <c r="A393" s="40" t="s">
        <v>793</v>
      </c>
      <c r="B393" s="177" t="s">
        <v>793</v>
      </c>
      <c r="C393" s="41" t="s">
        <v>938</v>
      </c>
      <c r="D393" s="39" t="s">
        <v>939</v>
      </c>
      <c r="E393" s="39"/>
      <c r="F393" s="39" t="s">
        <v>131</v>
      </c>
      <c r="G393" s="39" t="s">
        <v>940</v>
      </c>
      <c r="H393" s="40" t="s">
        <v>254</v>
      </c>
      <c r="I393" s="39"/>
      <c r="J393" s="39"/>
      <c r="K393" s="39"/>
      <c r="L393" s="39"/>
      <c r="M393" s="41"/>
      <c r="N393" s="39"/>
      <c r="O393" s="69"/>
      <c r="P393" s="188"/>
      <c r="Q393" s="69"/>
      <c r="R393" s="192"/>
      <c r="S393" s="90"/>
      <c r="T393" s="91"/>
    </row>
    <row r="394" s="20" customFormat="1" ht="14.4" spans="1:20">
      <c r="A394" s="40" t="s">
        <v>204</v>
      </c>
      <c r="B394" s="193" t="s">
        <v>204</v>
      </c>
      <c r="C394" s="193">
        <v>950010</v>
      </c>
      <c r="D394" s="193" t="s">
        <v>170</v>
      </c>
      <c r="E394" s="193" t="s">
        <v>131</v>
      </c>
      <c r="F394" s="193" t="s">
        <v>131</v>
      </c>
      <c r="G394" s="193" t="s">
        <v>171</v>
      </c>
      <c r="H394" s="193" t="s">
        <v>172</v>
      </c>
      <c r="I394" s="193"/>
      <c r="J394" s="193"/>
      <c r="K394" s="193"/>
      <c r="L394" s="193"/>
      <c r="M394" s="193"/>
      <c r="N394" s="193"/>
      <c r="O394" s="197"/>
      <c r="P394" s="197"/>
      <c r="Q394" s="193"/>
      <c r="R394" s="193"/>
      <c r="S394" s="193"/>
      <c r="T394" s="193"/>
    </row>
    <row r="395" s="20" customFormat="1" ht="14.4" spans="1:20">
      <c r="A395" s="40" t="s">
        <v>204</v>
      </c>
      <c r="B395" s="193" t="s">
        <v>204</v>
      </c>
      <c r="C395" s="193">
        <v>950020</v>
      </c>
      <c r="D395" s="193" t="s">
        <v>174</v>
      </c>
      <c r="E395" s="193" t="s">
        <v>131</v>
      </c>
      <c r="F395" s="193" t="s">
        <v>131</v>
      </c>
      <c r="G395" s="193" t="str">
        <f>'Check list'!G14&amp;"-RW"</f>
        <v>IP30S1@EF041A-08-RW</v>
      </c>
      <c r="H395" s="193" t="s">
        <v>175</v>
      </c>
      <c r="I395" s="193"/>
      <c r="J395" s="193" t="str">
        <f>'Check list'!$D$5&amp;"_08"</f>
        <v>EF041A_08</v>
      </c>
      <c r="K395" s="193"/>
      <c r="L395" s="193"/>
      <c r="M395" s="193"/>
      <c r="N395" s="193"/>
      <c r="O395" s="197"/>
      <c r="P395" s="197"/>
      <c r="Q395" s="193"/>
      <c r="R395" s="193"/>
      <c r="S395" s="193"/>
      <c r="T395" s="193"/>
    </row>
    <row r="396" s="20" customFormat="1" ht="14.4" spans="1:20">
      <c r="A396" s="40" t="s">
        <v>204</v>
      </c>
      <c r="B396" s="193" t="s">
        <v>204</v>
      </c>
      <c r="C396" s="193">
        <v>950030</v>
      </c>
      <c r="D396" s="193" t="s">
        <v>177</v>
      </c>
      <c r="E396" s="193" t="s">
        <v>131</v>
      </c>
      <c r="F396" s="193" t="s">
        <v>131</v>
      </c>
      <c r="G396" s="193" t="str">
        <f>'Check list'!$D$5&amp;"/"&amp;'Check list'!$D$5&amp;"_S1_PH_T"</f>
        <v>EF041A/EF041A_S1_PH_T</v>
      </c>
      <c r="H396" s="193" t="s">
        <v>178</v>
      </c>
      <c r="I396" s="193"/>
      <c r="J396" s="193"/>
      <c r="K396" s="193"/>
      <c r="L396" s="193"/>
      <c r="M396" s="193"/>
      <c r="N396" s="193"/>
      <c r="O396" s="197"/>
      <c r="P396" s="197"/>
      <c r="Q396" s="193"/>
      <c r="R396" s="193"/>
      <c r="S396" s="193"/>
      <c r="T396" s="193"/>
    </row>
    <row r="397" s="20" customFormat="1" ht="14.4" spans="1:20">
      <c r="A397" s="40" t="s">
        <v>204</v>
      </c>
      <c r="B397" s="193" t="s">
        <v>204</v>
      </c>
      <c r="C397" s="193">
        <v>950040</v>
      </c>
      <c r="D397" s="193" t="s">
        <v>182</v>
      </c>
      <c r="E397" s="193" t="s">
        <v>131</v>
      </c>
      <c r="F397" s="193" t="s">
        <v>131</v>
      </c>
      <c r="G397" s="193" t="str">
        <f>'Check list'!$D$5&amp;"/"&amp;'Check list'!$D$5&amp;"_S1_PH_B"</f>
        <v>EF041A/EF041A_S1_PH_B</v>
      </c>
      <c r="H397" s="193" t="s">
        <v>178</v>
      </c>
      <c r="I397" s="193"/>
      <c r="J397" s="193"/>
      <c r="K397" s="193"/>
      <c r="L397" s="193"/>
      <c r="M397" s="193"/>
      <c r="N397" s="193"/>
      <c r="O397" s="197"/>
      <c r="P397" s="197"/>
      <c r="Q397" s="193"/>
      <c r="R397" s="193"/>
      <c r="S397" s="193"/>
      <c r="T397" s="193"/>
    </row>
    <row r="398" s="20" customFormat="1" ht="14.4" spans="1:20">
      <c r="A398" s="40" t="s">
        <v>204</v>
      </c>
      <c r="B398" s="193" t="s">
        <v>204</v>
      </c>
      <c r="C398" s="193">
        <v>950050</v>
      </c>
      <c r="D398" s="193" t="s">
        <v>185</v>
      </c>
      <c r="E398" s="193" t="s">
        <v>131</v>
      </c>
      <c r="F398" s="193" t="s">
        <v>131</v>
      </c>
      <c r="G398" s="193" t="s">
        <v>132</v>
      </c>
      <c r="H398" s="193" t="s">
        <v>186</v>
      </c>
      <c r="I398" s="193"/>
      <c r="J398" s="193"/>
      <c r="K398" s="193"/>
      <c r="L398" s="193"/>
      <c r="M398" s="193"/>
      <c r="N398" s="193"/>
      <c r="O398" s="197"/>
      <c r="P398" s="197"/>
      <c r="Q398" s="193"/>
      <c r="R398" s="193"/>
      <c r="S398" s="193"/>
      <c r="T398" s="193"/>
    </row>
    <row r="399" s="20" customFormat="1" ht="14.4" spans="1:20">
      <c r="A399" s="40" t="s">
        <v>204</v>
      </c>
      <c r="B399" s="193" t="s">
        <v>204</v>
      </c>
      <c r="C399" s="193">
        <v>950060</v>
      </c>
      <c r="D399" s="193" t="s">
        <v>915</v>
      </c>
      <c r="E399" s="193"/>
      <c r="F399" s="193" t="s">
        <v>131</v>
      </c>
      <c r="G399" s="193" t="s">
        <v>916</v>
      </c>
      <c r="H399" s="193" t="s">
        <v>254</v>
      </c>
      <c r="I399" s="193"/>
      <c r="J399" s="193"/>
      <c r="K399" s="193"/>
      <c r="L399" s="193"/>
      <c r="M399" s="193"/>
      <c r="N399" s="193"/>
      <c r="O399" s="197"/>
      <c r="P399" s="197"/>
      <c r="Q399" s="193"/>
      <c r="R399" s="193"/>
      <c r="S399" s="193"/>
      <c r="T399" s="193"/>
    </row>
    <row r="400" s="20" customFormat="1" ht="14.4" spans="1:20">
      <c r="A400" s="194" t="s">
        <v>263</v>
      </c>
      <c r="B400" s="195" t="s">
        <v>263</v>
      </c>
      <c r="C400" s="193">
        <v>960110</v>
      </c>
      <c r="D400" s="193" t="s">
        <v>170</v>
      </c>
      <c r="E400" s="193" t="s">
        <v>131</v>
      </c>
      <c r="F400" s="193" t="s">
        <v>131</v>
      </c>
      <c r="G400" s="193" t="s">
        <v>171</v>
      </c>
      <c r="H400" s="193" t="s">
        <v>172</v>
      </c>
      <c r="I400" s="193"/>
      <c r="J400" s="193"/>
      <c r="K400" s="193"/>
      <c r="L400" s="193"/>
      <c r="M400" s="193"/>
      <c r="N400" s="193"/>
      <c r="O400" s="197"/>
      <c r="P400" s="197"/>
      <c r="Q400" s="193"/>
      <c r="R400" s="193"/>
      <c r="S400" s="193"/>
      <c r="T400" s="193"/>
    </row>
    <row r="401" s="20" customFormat="1" ht="14.4" spans="1:20">
      <c r="A401" s="194" t="s">
        <v>263</v>
      </c>
      <c r="B401" s="195" t="s">
        <v>263</v>
      </c>
      <c r="C401" s="193">
        <v>960120</v>
      </c>
      <c r="D401" s="193" t="s">
        <v>239</v>
      </c>
      <c r="E401" s="193" t="s">
        <v>131</v>
      </c>
      <c r="F401" s="193" t="s">
        <v>131</v>
      </c>
      <c r="G401" s="193" t="str">
        <f>'Check list'!G15&amp;"-RW"</f>
        <v>IP40U1@EF041A-95-RW</v>
      </c>
      <c r="H401" s="193" t="s">
        <v>175</v>
      </c>
      <c r="I401" s="193"/>
      <c r="J401" s="193" t="str">
        <f>'Check list'!$D$5&amp;"_95"</f>
        <v>EF041A_95</v>
      </c>
      <c r="K401" s="193"/>
      <c r="L401" s="193"/>
      <c r="M401" s="193"/>
      <c r="N401" s="193"/>
      <c r="O401" s="197"/>
      <c r="P401" s="197"/>
      <c r="Q401" s="193"/>
      <c r="R401" s="193"/>
      <c r="S401" s="193"/>
      <c r="T401" s="193"/>
    </row>
    <row r="402" s="20" customFormat="1" ht="14.4" spans="1:20">
      <c r="A402" s="194" t="s">
        <v>263</v>
      </c>
      <c r="B402" s="195" t="s">
        <v>263</v>
      </c>
      <c r="C402" s="193">
        <v>960130</v>
      </c>
      <c r="D402" s="193" t="s">
        <v>241</v>
      </c>
      <c r="E402" s="193" t="s">
        <v>131</v>
      </c>
      <c r="F402" s="193" t="s">
        <v>131</v>
      </c>
      <c r="G402" s="193" t="str">
        <f>'Check list'!$D$5&amp;"/"&amp;'Check list'!$D$5&amp;"_U1_PH_T"</f>
        <v>EF041A/EF041A_U1_PH_T</v>
      </c>
      <c r="H402" s="193" t="s">
        <v>178</v>
      </c>
      <c r="I402" s="193"/>
      <c r="J402" s="193"/>
      <c r="K402" s="193"/>
      <c r="L402" s="193"/>
      <c r="M402" s="193"/>
      <c r="N402" s="193"/>
      <c r="O402" s="197"/>
      <c r="P402" s="197"/>
      <c r="Q402" s="193"/>
      <c r="R402" s="193"/>
      <c r="S402" s="193"/>
      <c r="T402" s="193"/>
    </row>
    <row r="403" s="20" customFormat="1" ht="14.4" spans="1:20">
      <c r="A403" s="194" t="s">
        <v>263</v>
      </c>
      <c r="B403" s="195" t="s">
        <v>263</v>
      </c>
      <c r="C403" s="193">
        <v>960140</v>
      </c>
      <c r="D403" s="193" t="s">
        <v>245</v>
      </c>
      <c r="E403" s="193" t="s">
        <v>131</v>
      </c>
      <c r="F403" s="193" t="s">
        <v>131</v>
      </c>
      <c r="G403" s="193" t="str">
        <f>'Check list'!$D$5&amp;"/"&amp;'Check list'!$D$5&amp;"_U1_PH_B"</f>
        <v>EF041A/EF041A_U1_PH_B</v>
      </c>
      <c r="H403" s="193" t="s">
        <v>178</v>
      </c>
      <c r="I403" s="193"/>
      <c r="J403" s="193"/>
      <c r="K403" s="193"/>
      <c r="L403" s="193"/>
      <c r="M403" s="193"/>
      <c r="N403" s="193"/>
      <c r="O403" s="197"/>
      <c r="P403" s="197"/>
      <c r="Q403" s="193"/>
      <c r="R403" s="193"/>
      <c r="S403" s="193"/>
      <c r="T403" s="193"/>
    </row>
    <row r="404" s="20" customFormat="1" ht="14.4" spans="1:20">
      <c r="A404" s="194" t="s">
        <v>263</v>
      </c>
      <c r="B404" s="195" t="s">
        <v>263</v>
      </c>
      <c r="C404" s="193">
        <v>960150</v>
      </c>
      <c r="D404" s="193" t="s">
        <v>248</v>
      </c>
      <c r="E404" s="193" t="s">
        <v>131</v>
      </c>
      <c r="F404" s="193" t="s">
        <v>131</v>
      </c>
      <c r="G404" s="193" t="str">
        <f>"OVL"&amp;'Check list'!$D$5&amp;"-95"</f>
        <v>OVLEF041A-95</v>
      </c>
      <c r="H404" s="193" t="s">
        <v>249</v>
      </c>
      <c r="I404" s="193"/>
      <c r="J404" s="193"/>
      <c r="K404" s="193"/>
      <c r="L404" s="193"/>
      <c r="M404" s="193"/>
      <c r="N404" s="193"/>
      <c r="O404" s="197"/>
      <c r="P404" s="197"/>
      <c r="Q404" s="193"/>
      <c r="R404" s="193"/>
      <c r="S404" s="193"/>
      <c r="T404" s="193"/>
    </row>
    <row r="405" s="20" customFormat="1" ht="14.4" spans="1:20">
      <c r="A405" s="194" t="s">
        <v>263</v>
      </c>
      <c r="B405" s="195" t="s">
        <v>263</v>
      </c>
      <c r="C405" s="193">
        <v>960160</v>
      </c>
      <c r="D405" s="193" t="s">
        <v>185</v>
      </c>
      <c r="E405" s="193" t="s">
        <v>131</v>
      </c>
      <c r="F405" s="193" t="s">
        <v>131</v>
      </c>
      <c r="G405" s="193" t="s">
        <v>132</v>
      </c>
      <c r="H405" s="193" t="s">
        <v>186</v>
      </c>
      <c r="I405" s="193"/>
      <c r="J405" s="193"/>
      <c r="K405" s="193"/>
      <c r="L405" s="193"/>
      <c r="M405" s="193"/>
      <c r="N405" s="193"/>
      <c r="O405" s="197"/>
      <c r="P405" s="197"/>
      <c r="Q405" s="193"/>
      <c r="R405" s="193"/>
      <c r="S405" s="193"/>
      <c r="T405" s="193"/>
    </row>
    <row r="406" s="20" customFormat="1" ht="14.4" spans="1:20">
      <c r="A406" s="194" t="s">
        <v>263</v>
      </c>
      <c r="B406" s="195" t="s">
        <v>263</v>
      </c>
      <c r="C406" s="193">
        <v>960170</v>
      </c>
      <c r="D406" s="193" t="s">
        <v>918</v>
      </c>
      <c r="E406" s="193"/>
      <c r="F406" s="193" t="s">
        <v>131</v>
      </c>
      <c r="G406" s="193" t="s">
        <v>919</v>
      </c>
      <c r="H406" s="193" t="s">
        <v>254</v>
      </c>
      <c r="I406" s="193"/>
      <c r="J406" s="193"/>
      <c r="K406" s="193"/>
      <c r="L406" s="193"/>
      <c r="M406" s="193"/>
      <c r="N406" s="193"/>
      <c r="O406" s="197"/>
      <c r="P406" s="197"/>
      <c r="Q406" s="193"/>
      <c r="R406" s="193"/>
      <c r="S406" s="193"/>
      <c r="T406" s="193"/>
    </row>
    <row r="407" s="20" customFormat="1" ht="14.4" spans="1:20">
      <c r="A407" s="194" t="s">
        <v>320</v>
      </c>
      <c r="B407" s="196" t="s">
        <v>320</v>
      </c>
      <c r="C407" s="193">
        <v>960210</v>
      </c>
      <c r="D407" s="193" t="s">
        <v>170</v>
      </c>
      <c r="E407" s="193" t="s">
        <v>131</v>
      </c>
      <c r="F407" s="193" t="s">
        <v>131</v>
      </c>
      <c r="G407" s="193" t="s">
        <v>171</v>
      </c>
      <c r="H407" s="193" t="s">
        <v>172</v>
      </c>
      <c r="I407" s="193"/>
      <c r="J407" s="193"/>
      <c r="K407" s="193"/>
      <c r="L407" s="193"/>
      <c r="M407" s="193"/>
      <c r="N407" s="193"/>
      <c r="O407" s="197"/>
      <c r="P407" s="197"/>
      <c r="Q407" s="193"/>
      <c r="R407" s="193"/>
      <c r="S407" s="193"/>
      <c r="T407" s="193"/>
    </row>
    <row r="408" s="20" customFormat="1" ht="14.4" spans="1:20">
      <c r="A408" s="194" t="s">
        <v>320</v>
      </c>
      <c r="B408" s="196" t="s">
        <v>320</v>
      </c>
      <c r="C408" s="193">
        <v>960220</v>
      </c>
      <c r="D408" s="193" t="s">
        <v>299</v>
      </c>
      <c r="E408" s="193" t="s">
        <v>131</v>
      </c>
      <c r="F408" s="193" t="s">
        <v>131</v>
      </c>
      <c r="G408" s="193" t="str">
        <f>'Check list'!G16&amp;"-RW"</f>
        <v>IP40V1@EF041A-97-RW</v>
      </c>
      <c r="H408" s="193" t="s">
        <v>175</v>
      </c>
      <c r="I408" s="193"/>
      <c r="J408" s="193" t="str">
        <f>'Check list'!$D$5&amp;"_97"</f>
        <v>EF041A_97</v>
      </c>
      <c r="K408" s="193"/>
      <c r="L408" s="193"/>
      <c r="M408" s="193"/>
      <c r="N408" s="193"/>
      <c r="O408" s="197"/>
      <c r="P408" s="197"/>
      <c r="Q408" s="193"/>
      <c r="R408" s="193"/>
      <c r="S408" s="193"/>
      <c r="T408" s="193"/>
    </row>
    <row r="409" s="20" customFormat="1" ht="14.4" spans="1:20">
      <c r="A409" s="194" t="s">
        <v>320</v>
      </c>
      <c r="B409" s="196" t="s">
        <v>320</v>
      </c>
      <c r="C409" s="193">
        <v>960230</v>
      </c>
      <c r="D409" s="193" t="s">
        <v>301</v>
      </c>
      <c r="E409" s="193" t="s">
        <v>131</v>
      </c>
      <c r="F409" s="193" t="s">
        <v>131</v>
      </c>
      <c r="G409" s="193" t="str">
        <f>'Check list'!$D$5&amp;"/"&amp;'Check list'!$D$5&amp;"_V1_PH_T"</f>
        <v>EF041A/EF041A_V1_PH_T</v>
      </c>
      <c r="H409" s="193" t="s">
        <v>178</v>
      </c>
      <c r="I409" s="193"/>
      <c r="J409" s="193"/>
      <c r="K409" s="193"/>
      <c r="L409" s="193"/>
      <c r="M409" s="193"/>
      <c r="N409" s="193"/>
      <c r="O409" s="197"/>
      <c r="P409" s="197"/>
      <c r="Q409" s="193"/>
      <c r="R409" s="193"/>
      <c r="S409" s="193"/>
      <c r="T409" s="193"/>
    </row>
    <row r="410" s="20" customFormat="1" ht="14.4" spans="1:20">
      <c r="A410" s="194" t="s">
        <v>320</v>
      </c>
      <c r="B410" s="196" t="s">
        <v>320</v>
      </c>
      <c r="C410" s="193">
        <v>960240</v>
      </c>
      <c r="D410" s="193" t="s">
        <v>304</v>
      </c>
      <c r="E410" s="193" t="s">
        <v>131</v>
      </c>
      <c r="F410" s="193" t="s">
        <v>131</v>
      </c>
      <c r="G410" s="193" t="str">
        <f>'Check list'!$D$5&amp;"/"&amp;'Check list'!$D$5&amp;"_V1_PH_B"</f>
        <v>EF041A/EF041A_V1_PH_B</v>
      </c>
      <c r="H410" s="193" t="s">
        <v>178</v>
      </c>
      <c r="I410" s="193"/>
      <c r="J410" s="193"/>
      <c r="K410" s="193"/>
      <c r="L410" s="193"/>
      <c r="M410" s="193"/>
      <c r="N410" s="193"/>
      <c r="O410" s="197"/>
      <c r="P410" s="197"/>
      <c r="Q410" s="193"/>
      <c r="R410" s="193"/>
      <c r="S410" s="193"/>
      <c r="T410" s="193"/>
    </row>
    <row r="411" s="20" customFormat="1" ht="14.4" spans="1:20">
      <c r="A411" s="194" t="s">
        <v>320</v>
      </c>
      <c r="B411" s="196" t="s">
        <v>320</v>
      </c>
      <c r="C411" s="193">
        <v>960250</v>
      </c>
      <c r="D411" s="193" t="s">
        <v>248</v>
      </c>
      <c r="E411" s="193" t="s">
        <v>131</v>
      </c>
      <c r="F411" s="193" t="s">
        <v>131</v>
      </c>
      <c r="G411" s="193" t="str">
        <f>"OVL"&amp;'Check list'!$D$5&amp;"-97"</f>
        <v>OVLEF041A-97</v>
      </c>
      <c r="H411" s="193" t="s">
        <v>249</v>
      </c>
      <c r="I411" s="193"/>
      <c r="J411" s="193"/>
      <c r="K411" s="193"/>
      <c r="L411" s="193"/>
      <c r="M411" s="193"/>
      <c r="N411" s="193"/>
      <c r="O411" s="197"/>
      <c r="P411" s="197"/>
      <c r="Q411" s="193"/>
      <c r="R411" s="193"/>
      <c r="S411" s="193"/>
      <c r="T411" s="193"/>
    </row>
    <row r="412" s="20" customFormat="1" ht="14.4" spans="1:20">
      <c r="A412" s="194" t="s">
        <v>320</v>
      </c>
      <c r="B412" s="196" t="s">
        <v>320</v>
      </c>
      <c r="C412" s="193">
        <v>960260</v>
      </c>
      <c r="D412" s="193" t="s">
        <v>185</v>
      </c>
      <c r="E412" s="193" t="s">
        <v>131</v>
      </c>
      <c r="F412" s="193" t="s">
        <v>131</v>
      </c>
      <c r="G412" s="193" t="s">
        <v>132</v>
      </c>
      <c r="H412" s="193" t="s">
        <v>186</v>
      </c>
      <c r="I412" s="193"/>
      <c r="J412" s="193"/>
      <c r="K412" s="193"/>
      <c r="L412" s="193"/>
      <c r="M412" s="193"/>
      <c r="N412" s="193"/>
      <c r="O412" s="197"/>
      <c r="P412" s="197"/>
      <c r="Q412" s="193"/>
      <c r="R412" s="193"/>
      <c r="S412" s="193"/>
      <c r="T412" s="193"/>
    </row>
    <row r="413" s="20" customFormat="1" ht="14.4" spans="1:20">
      <c r="A413" s="194" t="s">
        <v>320</v>
      </c>
      <c r="B413" s="196" t="s">
        <v>320</v>
      </c>
      <c r="C413" s="193">
        <v>960270</v>
      </c>
      <c r="D413" s="193" t="s">
        <v>921</v>
      </c>
      <c r="E413" s="193"/>
      <c r="F413" s="193" t="s">
        <v>131</v>
      </c>
      <c r="G413" s="193" t="s">
        <v>922</v>
      </c>
      <c r="H413" s="193" t="s">
        <v>254</v>
      </c>
      <c r="I413" s="193"/>
      <c r="J413" s="193"/>
      <c r="K413" s="193"/>
      <c r="L413" s="193"/>
      <c r="M413" s="193"/>
      <c r="N413" s="193"/>
      <c r="O413" s="197"/>
      <c r="P413" s="197"/>
      <c r="Q413" s="193"/>
      <c r="R413" s="193"/>
      <c r="S413" s="193"/>
      <c r="T413" s="193"/>
    </row>
    <row r="414" s="20" customFormat="1" ht="14.4" spans="1:20">
      <c r="A414" s="194" t="s">
        <v>384</v>
      </c>
      <c r="B414" s="195" t="s">
        <v>384</v>
      </c>
      <c r="C414" s="193">
        <v>960410</v>
      </c>
      <c r="D414" s="193" t="s">
        <v>170</v>
      </c>
      <c r="E414" s="193"/>
      <c r="F414" s="193"/>
      <c r="G414" s="193" t="s">
        <v>171</v>
      </c>
      <c r="H414" s="193" t="s">
        <v>172</v>
      </c>
      <c r="I414" s="193"/>
      <c r="J414" s="193"/>
      <c r="K414" s="193"/>
      <c r="L414" s="193"/>
      <c r="M414" s="193"/>
      <c r="N414" s="193"/>
      <c r="O414" s="197"/>
      <c r="P414" s="197"/>
      <c r="Q414" s="193"/>
      <c r="R414" s="193"/>
      <c r="S414" s="193"/>
      <c r="T414" s="193"/>
    </row>
    <row r="415" s="20" customFormat="1" ht="14.4" spans="1:20">
      <c r="A415" s="194" t="s">
        <v>384</v>
      </c>
      <c r="B415" s="195" t="s">
        <v>384</v>
      </c>
      <c r="C415" s="193">
        <v>960420</v>
      </c>
      <c r="D415" s="193" t="s">
        <v>368</v>
      </c>
      <c r="E415" s="193"/>
      <c r="F415" s="193"/>
      <c r="G415" s="193" t="str">
        <f>'Check list'!G21&amp;"-RW"</f>
        <v>IP3000@EF041A-45-RW</v>
      </c>
      <c r="H415" s="193" t="s">
        <v>175</v>
      </c>
      <c r="I415" s="193"/>
      <c r="J415" s="193" t="str">
        <f>'Check list'!$D$5&amp;"_45"</f>
        <v>EF041A_45</v>
      </c>
      <c r="K415" s="193"/>
      <c r="L415" s="193"/>
      <c r="M415" s="193"/>
      <c r="N415" s="193"/>
      <c r="O415" s="197"/>
      <c r="P415" s="197"/>
      <c r="Q415" s="193"/>
      <c r="R415" s="193"/>
      <c r="S415" s="193"/>
      <c r="T415" s="193"/>
    </row>
    <row r="416" s="20" customFormat="1" ht="14.4" spans="1:20">
      <c r="A416" s="194" t="s">
        <v>384</v>
      </c>
      <c r="B416" s="195" t="s">
        <v>384</v>
      </c>
      <c r="C416" s="193">
        <v>960430</v>
      </c>
      <c r="D416" s="193" t="s">
        <v>370</v>
      </c>
      <c r="E416" s="193"/>
      <c r="F416" s="193"/>
      <c r="G416" s="193" t="str">
        <f>'Check list'!$D$5&amp;"/"&amp;'Check list'!$D$5&amp;"_F1_PH_B"</f>
        <v>EF041A/EF041A_F1_PH_B</v>
      </c>
      <c r="H416" s="193" t="s">
        <v>178</v>
      </c>
      <c r="I416" s="193"/>
      <c r="J416" s="193"/>
      <c r="K416" s="193"/>
      <c r="L416" s="193"/>
      <c r="M416" s="193"/>
      <c r="N416" s="193"/>
      <c r="O416" s="197"/>
      <c r="P416" s="197"/>
      <c r="Q416" s="193"/>
      <c r="R416" s="193"/>
      <c r="S416" s="193"/>
      <c r="T416" s="193"/>
    </row>
    <row r="417" s="20" customFormat="1" ht="14.4" spans="1:20">
      <c r="A417" s="194" t="s">
        <v>384</v>
      </c>
      <c r="B417" s="195" t="s">
        <v>384</v>
      </c>
      <c r="C417" s="193">
        <v>960440</v>
      </c>
      <c r="D417" s="193" t="s">
        <v>248</v>
      </c>
      <c r="E417" s="193"/>
      <c r="F417" s="193"/>
      <c r="G417" s="193" t="str">
        <f>"OVL"&amp;'Check list'!$D$5&amp;"-45"</f>
        <v>OVLEF041A-45</v>
      </c>
      <c r="H417" s="193" t="s">
        <v>249</v>
      </c>
      <c r="I417" s="193"/>
      <c r="J417" s="193"/>
      <c r="K417" s="193"/>
      <c r="L417" s="193"/>
      <c r="M417" s="193"/>
      <c r="N417" s="193"/>
      <c r="O417" s="197"/>
      <c r="P417" s="197"/>
      <c r="Q417" s="193"/>
      <c r="R417" s="193"/>
      <c r="S417" s="193"/>
      <c r="T417" s="193"/>
    </row>
    <row r="418" s="20" customFormat="1" ht="14.4" spans="1:20">
      <c r="A418" s="194" t="s">
        <v>384</v>
      </c>
      <c r="B418" s="195" t="s">
        <v>384</v>
      </c>
      <c r="C418" s="193">
        <v>960450</v>
      </c>
      <c r="D418" s="193" t="s">
        <v>185</v>
      </c>
      <c r="E418" s="193"/>
      <c r="F418" s="193"/>
      <c r="G418" s="193" t="s">
        <v>132</v>
      </c>
      <c r="H418" s="193" t="s">
        <v>186</v>
      </c>
      <c r="I418" s="193"/>
      <c r="J418" s="193"/>
      <c r="K418" s="193"/>
      <c r="L418" s="193"/>
      <c r="M418" s="193"/>
      <c r="N418" s="193"/>
      <c r="O418" s="197"/>
      <c r="P418" s="197"/>
      <c r="Q418" s="193"/>
      <c r="R418" s="193"/>
      <c r="S418" s="193"/>
      <c r="T418" s="193"/>
    </row>
    <row r="419" s="20" customFormat="1" ht="14.4" spans="1:20">
      <c r="A419" s="194" t="s">
        <v>384</v>
      </c>
      <c r="B419" s="195" t="s">
        <v>384</v>
      </c>
      <c r="C419" s="193">
        <v>960460</v>
      </c>
      <c r="D419" s="193" t="s">
        <v>924</v>
      </c>
      <c r="E419" s="193"/>
      <c r="F419" s="193"/>
      <c r="G419" s="193" t="s">
        <v>925</v>
      </c>
      <c r="H419" s="193" t="s">
        <v>254</v>
      </c>
      <c r="I419" s="193"/>
      <c r="J419" s="193"/>
      <c r="K419" s="193"/>
      <c r="L419" s="193"/>
      <c r="M419" s="193"/>
      <c r="N419" s="193"/>
      <c r="O419" s="197"/>
      <c r="P419" s="197"/>
      <c r="Q419" s="193"/>
      <c r="R419" s="193"/>
      <c r="S419" s="193"/>
      <c r="T419" s="193"/>
    </row>
    <row r="420" s="20" customFormat="1" ht="14.4" spans="1:20">
      <c r="A420" s="194" t="s">
        <v>672</v>
      </c>
      <c r="B420" s="195" t="s">
        <v>672</v>
      </c>
      <c r="C420" s="193">
        <v>960510</v>
      </c>
      <c r="D420" s="193" t="s">
        <v>170</v>
      </c>
      <c r="E420" s="193" t="s">
        <v>131</v>
      </c>
      <c r="F420" s="193" t="s">
        <v>131</v>
      </c>
      <c r="G420" s="193" t="s">
        <v>171</v>
      </c>
      <c r="H420" s="193" t="s">
        <v>172</v>
      </c>
      <c r="I420" s="193"/>
      <c r="J420" s="193"/>
      <c r="K420" s="193"/>
      <c r="L420" s="193"/>
      <c r="M420" s="193"/>
      <c r="N420" s="193"/>
      <c r="O420" s="197"/>
      <c r="P420" s="197"/>
      <c r="Q420" s="193"/>
      <c r="R420" s="193"/>
      <c r="S420" s="193"/>
      <c r="T420" s="193"/>
    </row>
    <row r="421" s="20" customFormat="1" ht="14.4" spans="1:20">
      <c r="A421" s="194" t="s">
        <v>672</v>
      </c>
      <c r="B421" s="195" t="s">
        <v>672</v>
      </c>
      <c r="C421" s="193">
        <v>960520</v>
      </c>
      <c r="D421" s="193" t="s">
        <v>654</v>
      </c>
      <c r="E421" s="193" t="s">
        <v>131</v>
      </c>
      <c r="F421" s="193" t="s">
        <v>131</v>
      </c>
      <c r="G421" s="193" t="str">
        <f>'Check list'!G32&amp;"-RW"</f>
        <v>IP3000@EF041A-126-RW</v>
      </c>
      <c r="H421" s="193" t="s">
        <v>175</v>
      </c>
      <c r="I421" s="193"/>
      <c r="J421" s="193" t="str">
        <f>'Check list'!$D$5&amp;"_126"</f>
        <v>EF041A_126</v>
      </c>
      <c r="K421" s="193"/>
      <c r="L421" s="193"/>
      <c r="M421" s="193"/>
      <c r="N421" s="193"/>
      <c r="O421" s="197"/>
      <c r="P421" s="197"/>
      <c r="Q421" s="193"/>
      <c r="R421" s="193"/>
      <c r="S421" s="193"/>
      <c r="T421" s="193"/>
    </row>
    <row r="422" s="20" customFormat="1" ht="14.4" spans="1:20">
      <c r="A422" s="194" t="s">
        <v>672</v>
      </c>
      <c r="B422" s="195" t="s">
        <v>672</v>
      </c>
      <c r="C422" s="193">
        <v>960530</v>
      </c>
      <c r="D422" s="193" t="s">
        <v>656</v>
      </c>
      <c r="E422" s="193" t="s">
        <v>131</v>
      </c>
      <c r="F422" s="193" t="s">
        <v>131</v>
      </c>
      <c r="G422" s="193" t="str">
        <f>'Check list'!$D$5&amp;"/"&amp;'Check list'!$D$5&amp;"_M1_PH_B"</f>
        <v>EF041A/EF041A_M1_PH_B</v>
      </c>
      <c r="H422" s="193" t="s">
        <v>178</v>
      </c>
      <c r="I422" s="193"/>
      <c r="J422" s="193"/>
      <c r="K422" s="193"/>
      <c r="L422" s="193"/>
      <c r="M422" s="193"/>
      <c r="N422" s="193"/>
      <c r="O422" s="197"/>
      <c r="P422" s="197"/>
      <c r="Q422" s="193"/>
      <c r="R422" s="193"/>
      <c r="S422" s="193"/>
      <c r="T422" s="193"/>
    </row>
    <row r="423" s="20" customFormat="1" ht="14.4" spans="1:20">
      <c r="A423" s="194" t="s">
        <v>672</v>
      </c>
      <c r="B423" s="195" t="s">
        <v>672</v>
      </c>
      <c r="C423" s="193">
        <v>960540</v>
      </c>
      <c r="D423" s="193" t="s">
        <v>248</v>
      </c>
      <c r="E423" s="193" t="s">
        <v>131</v>
      </c>
      <c r="F423" s="193" t="s">
        <v>131</v>
      </c>
      <c r="G423" s="39" t="str">
        <f>"OVL"&amp;'Check list'!$D$5&amp;"-126"</f>
        <v>OVLEF041A-126</v>
      </c>
      <c r="H423" s="193" t="s">
        <v>249</v>
      </c>
      <c r="I423" s="193"/>
      <c r="J423" s="193"/>
      <c r="K423" s="193"/>
      <c r="L423" s="193"/>
      <c r="M423" s="193"/>
      <c r="N423" s="193"/>
      <c r="O423" s="197"/>
      <c r="P423" s="197"/>
      <c r="Q423" s="193"/>
      <c r="R423" s="193"/>
      <c r="S423" s="193"/>
      <c r="T423" s="193"/>
    </row>
    <row r="424" s="20" customFormat="1" ht="14.4" spans="1:20">
      <c r="A424" s="194" t="s">
        <v>672</v>
      </c>
      <c r="B424" s="195" t="s">
        <v>672</v>
      </c>
      <c r="C424" s="193">
        <v>960550</v>
      </c>
      <c r="D424" s="193" t="s">
        <v>185</v>
      </c>
      <c r="E424" s="193" t="s">
        <v>131</v>
      </c>
      <c r="F424" s="193" t="s">
        <v>131</v>
      </c>
      <c r="G424" s="193" t="s">
        <v>132</v>
      </c>
      <c r="H424" s="193" t="s">
        <v>186</v>
      </c>
      <c r="I424" s="193"/>
      <c r="J424" s="193"/>
      <c r="K424" s="193"/>
      <c r="L424" s="193"/>
      <c r="M424" s="193"/>
      <c r="N424" s="193"/>
      <c r="O424" s="197"/>
      <c r="P424" s="197"/>
      <c r="Q424" s="193"/>
      <c r="R424" s="193"/>
      <c r="S424" s="193"/>
      <c r="T424" s="193"/>
    </row>
    <row r="425" s="20" customFormat="1" ht="14.4" spans="1:20">
      <c r="A425" s="194" t="s">
        <v>672</v>
      </c>
      <c r="B425" s="195" t="s">
        <v>672</v>
      </c>
      <c r="C425" s="193">
        <v>960560</v>
      </c>
      <c r="D425" s="193" t="s">
        <v>927</v>
      </c>
      <c r="E425" s="193"/>
      <c r="F425" s="193" t="s">
        <v>131</v>
      </c>
      <c r="G425" s="193" t="s">
        <v>928</v>
      </c>
      <c r="H425" s="193" t="s">
        <v>254</v>
      </c>
      <c r="I425" s="193"/>
      <c r="J425" s="193"/>
      <c r="K425" s="193"/>
      <c r="L425" s="193"/>
      <c r="M425" s="193"/>
      <c r="N425" s="193"/>
      <c r="O425" s="197"/>
      <c r="P425" s="197"/>
      <c r="Q425" s="193"/>
      <c r="R425" s="193"/>
      <c r="S425" s="193"/>
      <c r="T425" s="193"/>
    </row>
    <row r="426" s="20" customFormat="1" ht="14.4" spans="1:20">
      <c r="A426" s="194" t="s">
        <v>713</v>
      </c>
      <c r="B426" s="195" t="s">
        <v>713</v>
      </c>
      <c r="C426" s="193">
        <v>960610</v>
      </c>
      <c r="D426" s="39" t="s">
        <v>170</v>
      </c>
      <c r="E426" s="39"/>
      <c r="F426" s="39"/>
      <c r="G426" s="39" t="s">
        <v>171</v>
      </c>
      <c r="H426" s="40" t="s">
        <v>172</v>
      </c>
      <c r="I426" s="193"/>
      <c r="J426" s="193"/>
      <c r="K426" s="193"/>
      <c r="L426" s="193"/>
      <c r="M426" s="193"/>
      <c r="N426" s="193"/>
      <c r="O426" s="197"/>
      <c r="P426" s="197"/>
      <c r="Q426" s="193"/>
      <c r="R426" s="193"/>
      <c r="S426" s="193"/>
      <c r="T426" s="193"/>
    </row>
    <row r="427" s="20" customFormat="1" ht="14.4" spans="1:20">
      <c r="A427" s="194" t="s">
        <v>713</v>
      </c>
      <c r="B427" s="195" t="s">
        <v>713</v>
      </c>
      <c r="C427" s="193">
        <v>960620</v>
      </c>
      <c r="D427" s="39" t="s">
        <v>696</v>
      </c>
      <c r="E427" s="39"/>
      <c r="F427" s="39"/>
      <c r="G427" s="39" t="str">
        <f>'Check list'!G34&amp;"-RW"</f>
        <v>IP4000@EF041A-126-RW</v>
      </c>
      <c r="H427" s="40" t="s">
        <v>175</v>
      </c>
      <c r="I427" s="193"/>
      <c r="J427" s="193" t="str">
        <f>'Check list'!$D$5&amp;"_126"</f>
        <v>EF041A_126</v>
      </c>
      <c r="K427" s="193"/>
      <c r="L427" s="193"/>
      <c r="M427" s="193"/>
      <c r="N427" s="193"/>
      <c r="O427" s="197"/>
      <c r="P427" s="197"/>
      <c r="Q427" s="193"/>
      <c r="R427" s="193"/>
      <c r="S427" s="193"/>
      <c r="T427" s="193"/>
    </row>
    <row r="428" s="20" customFormat="1" ht="14.4" spans="1:20">
      <c r="A428" s="194" t="s">
        <v>713</v>
      </c>
      <c r="B428" s="195" t="s">
        <v>713</v>
      </c>
      <c r="C428" s="193">
        <v>960630</v>
      </c>
      <c r="D428" s="39" t="s">
        <v>698</v>
      </c>
      <c r="E428" s="39"/>
      <c r="F428" s="39"/>
      <c r="G428" s="39" t="str">
        <f>'Check list'!$D$5&amp;"/"&amp;'Check list'!$D$5&amp;"_W1_PH_B"</f>
        <v>EF041A/EF041A_W1_PH_B</v>
      </c>
      <c r="H428" s="40" t="s">
        <v>178</v>
      </c>
      <c r="I428" s="193"/>
      <c r="J428" s="193"/>
      <c r="K428" s="193"/>
      <c r="L428" s="193"/>
      <c r="M428" s="193"/>
      <c r="N428" s="193"/>
      <c r="O428" s="197"/>
      <c r="P428" s="197"/>
      <c r="Q428" s="193"/>
      <c r="R428" s="193"/>
      <c r="S428" s="193"/>
      <c r="T428" s="193"/>
    </row>
    <row r="429" s="20" customFormat="1" ht="14.4" spans="1:20">
      <c r="A429" s="194" t="s">
        <v>713</v>
      </c>
      <c r="B429" s="195" t="s">
        <v>713</v>
      </c>
      <c r="C429" s="193">
        <v>960640</v>
      </c>
      <c r="D429" s="39" t="s">
        <v>248</v>
      </c>
      <c r="E429" s="39"/>
      <c r="F429" s="39"/>
      <c r="G429" s="39" t="str">
        <f>"OVL"&amp;'Check list'!$D$5&amp;"-126"</f>
        <v>OVLEF041A-126</v>
      </c>
      <c r="H429" s="40" t="s">
        <v>249</v>
      </c>
      <c r="I429" s="193"/>
      <c r="J429" s="193"/>
      <c r="K429" s="193"/>
      <c r="L429" s="193"/>
      <c r="M429" s="193"/>
      <c r="N429" s="193"/>
      <c r="O429" s="197"/>
      <c r="P429" s="197"/>
      <c r="Q429" s="193"/>
      <c r="R429" s="193"/>
      <c r="S429" s="193"/>
      <c r="T429" s="193"/>
    </row>
    <row r="430" s="20" customFormat="1" ht="14.4" spans="1:20">
      <c r="A430" s="194" t="s">
        <v>713</v>
      </c>
      <c r="B430" s="195" t="s">
        <v>713</v>
      </c>
      <c r="C430" s="193">
        <v>960650</v>
      </c>
      <c r="D430" s="39" t="s">
        <v>185</v>
      </c>
      <c r="E430" s="39"/>
      <c r="F430" s="39"/>
      <c r="G430" s="39" t="s">
        <v>132</v>
      </c>
      <c r="H430" s="40" t="s">
        <v>186</v>
      </c>
      <c r="I430" s="193"/>
      <c r="J430" s="193"/>
      <c r="K430" s="193"/>
      <c r="L430" s="193"/>
      <c r="M430" s="193"/>
      <c r="N430" s="193"/>
      <c r="O430" s="197"/>
      <c r="P430" s="197"/>
      <c r="Q430" s="193"/>
      <c r="R430" s="193"/>
      <c r="S430" s="193"/>
      <c r="T430" s="193"/>
    </row>
    <row r="431" s="20" customFormat="1" ht="14.4" spans="1:20">
      <c r="A431" s="194" t="s">
        <v>713</v>
      </c>
      <c r="B431" s="195" t="s">
        <v>713</v>
      </c>
      <c r="C431" s="193">
        <v>960660</v>
      </c>
      <c r="D431" s="39" t="s">
        <v>930</v>
      </c>
      <c r="E431" s="39"/>
      <c r="F431" s="39"/>
      <c r="G431" s="39" t="s">
        <v>928</v>
      </c>
      <c r="H431" s="40" t="s">
        <v>254</v>
      </c>
      <c r="I431" s="193"/>
      <c r="J431" s="193"/>
      <c r="K431" s="193"/>
      <c r="L431" s="193"/>
      <c r="M431" s="193"/>
      <c r="N431" s="193"/>
      <c r="O431" s="197"/>
      <c r="P431" s="197"/>
      <c r="Q431" s="193"/>
      <c r="R431" s="193"/>
      <c r="S431" s="193"/>
      <c r="T431" s="193"/>
    </row>
    <row r="432" s="20" customFormat="1" ht="14.4" spans="1:20">
      <c r="A432" s="194" t="s">
        <v>740</v>
      </c>
      <c r="B432" s="195" t="s">
        <v>740</v>
      </c>
      <c r="C432" s="193">
        <v>960710</v>
      </c>
      <c r="D432" s="39" t="s">
        <v>170</v>
      </c>
      <c r="E432" s="39" t="s">
        <v>131</v>
      </c>
      <c r="F432" s="39" t="s">
        <v>131</v>
      </c>
      <c r="G432" s="39" t="s">
        <v>171</v>
      </c>
      <c r="H432" s="40" t="s">
        <v>172</v>
      </c>
      <c r="I432" s="193"/>
      <c r="J432" s="193"/>
      <c r="K432" s="193"/>
      <c r="L432" s="193"/>
      <c r="M432" s="193"/>
      <c r="N432" s="193"/>
      <c r="O432" s="197"/>
      <c r="P432" s="197"/>
      <c r="Q432" s="193"/>
      <c r="R432" s="193"/>
      <c r="S432" s="193"/>
      <c r="T432" s="193"/>
    </row>
    <row r="433" s="20" customFormat="1" ht="14.4" spans="1:20">
      <c r="A433" s="194" t="s">
        <v>740</v>
      </c>
      <c r="B433" s="195" t="s">
        <v>740</v>
      </c>
      <c r="C433" s="193">
        <v>960720</v>
      </c>
      <c r="D433" s="193" t="s">
        <v>724</v>
      </c>
      <c r="E433" s="193" t="s">
        <v>131</v>
      </c>
      <c r="F433" s="193" t="s">
        <v>131</v>
      </c>
      <c r="G433" s="193" t="str">
        <f>'Check list'!G36&amp;"-RW"</f>
        <v>IP3000@EF041A-90-RW</v>
      </c>
      <c r="H433" s="193" t="s">
        <v>175</v>
      </c>
      <c r="I433" s="193"/>
      <c r="J433" s="193" t="str">
        <f>'Check list'!$D$5&amp;"_90"</f>
        <v>EF041A_90</v>
      </c>
      <c r="K433" s="193"/>
      <c r="L433" s="193"/>
      <c r="M433" s="193"/>
      <c r="N433" s="193"/>
      <c r="O433" s="197"/>
      <c r="P433" s="197"/>
      <c r="Q433" s="193"/>
      <c r="R433" s="193"/>
      <c r="S433" s="193"/>
      <c r="T433" s="193"/>
    </row>
    <row r="434" s="20" customFormat="1" ht="14.4" spans="1:20">
      <c r="A434" s="194" t="s">
        <v>740</v>
      </c>
      <c r="B434" s="195" t="s">
        <v>740</v>
      </c>
      <c r="C434" s="193">
        <v>960730</v>
      </c>
      <c r="D434" s="193" t="s">
        <v>726</v>
      </c>
      <c r="E434" s="193" t="s">
        <v>131</v>
      </c>
      <c r="F434" s="193" t="s">
        <v>131</v>
      </c>
      <c r="G434" s="193" t="str">
        <f>'Check list'!$D$5&amp;"/"&amp;'Check list'!$D$5&amp;"_V2_PH_B"</f>
        <v>EF041A/EF041A_V2_PH_B</v>
      </c>
      <c r="H434" s="193" t="s">
        <v>178</v>
      </c>
      <c r="I434" s="193"/>
      <c r="J434" s="193"/>
      <c r="K434" s="193"/>
      <c r="L434" s="193"/>
      <c r="M434" s="193"/>
      <c r="N434" s="193"/>
      <c r="O434" s="197"/>
      <c r="P434" s="197"/>
      <c r="Q434" s="193"/>
      <c r="R434" s="193"/>
      <c r="S434" s="193"/>
      <c r="T434" s="193"/>
    </row>
    <row r="435" s="20" customFormat="1" ht="14.4" spans="1:20">
      <c r="A435" s="194" t="s">
        <v>740</v>
      </c>
      <c r="B435" s="195" t="s">
        <v>740</v>
      </c>
      <c r="C435" s="193">
        <v>960740</v>
      </c>
      <c r="D435" s="193" t="s">
        <v>248</v>
      </c>
      <c r="E435" s="193" t="s">
        <v>131</v>
      </c>
      <c r="F435" s="193" t="s">
        <v>131</v>
      </c>
      <c r="G435" s="193" t="str">
        <f>"OVL"&amp;'Check list'!$D$5&amp;"-90"</f>
        <v>OVLEF041A-90</v>
      </c>
      <c r="H435" s="193" t="s">
        <v>249</v>
      </c>
      <c r="I435" s="193"/>
      <c r="J435" s="193"/>
      <c r="K435" s="193"/>
      <c r="L435" s="193"/>
      <c r="M435" s="193"/>
      <c r="N435" s="193"/>
      <c r="O435" s="197"/>
      <c r="P435" s="197"/>
      <c r="Q435" s="193"/>
      <c r="R435" s="193"/>
      <c r="S435" s="193"/>
      <c r="T435" s="193"/>
    </row>
    <row r="436" s="20" customFormat="1" ht="14.4" spans="1:20">
      <c r="A436" s="194" t="s">
        <v>740</v>
      </c>
      <c r="B436" s="195" t="s">
        <v>740</v>
      </c>
      <c r="C436" s="193">
        <v>960750</v>
      </c>
      <c r="D436" s="193" t="s">
        <v>185</v>
      </c>
      <c r="E436" s="193" t="s">
        <v>131</v>
      </c>
      <c r="F436" s="193" t="s">
        <v>131</v>
      </c>
      <c r="G436" s="193" t="s">
        <v>132</v>
      </c>
      <c r="H436" s="193" t="s">
        <v>186</v>
      </c>
      <c r="I436" s="193"/>
      <c r="J436" s="193"/>
      <c r="K436" s="193"/>
      <c r="L436" s="193"/>
      <c r="M436" s="193"/>
      <c r="N436" s="193"/>
      <c r="O436" s="197"/>
      <c r="P436" s="197"/>
      <c r="Q436" s="193"/>
      <c r="R436" s="193"/>
      <c r="S436" s="193"/>
      <c r="T436" s="193"/>
    </row>
    <row r="437" s="20" customFormat="1" ht="14.4" spans="1:20">
      <c r="A437" s="194" t="s">
        <v>740</v>
      </c>
      <c r="B437" s="195" t="s">
        <v>740</v>
      </c>
      <c r="C437" s="193">
        <v>960760</v>
      </c>
      <c r="D437" s="193" t="s">
        <v>932</v>
      </c>
      <c r="E437" s="193"/>
      <c r="F437" s="193" t="s">
        <v>131</v>
      </c>
      <c r="G437" s="193" t="s">
        <v>933</v>
      </c>
      <c r="H437" s="193" t="s">
        <v>254</v>
      </c>
      <c r="I437" s="193"/>
      <c r="J437" s="193"/>
      <c r="K437" s="193"/>
      <c r="L437" s="193"/>
      <c r="M437" s="193"/>
      <c r="N437" s="193"/>
      <c r="O437" s="197"/>
      <c r="P437" s="197"/>
      <c r="Q437" s="193"/>
      <c r="R437" s="193"/>
      <c r="S437" s="193"/>
      <c r="T437" s="193"/>
    </row>
    <row r="438" s="20" customFormat="1" ht="14.4" spans="1:20">
      <c r="A438" s="194" t="s">
        <v>799</v>
      </c>
      <c r="B438" s="195" t="s">
        <v>799</v>
      </c>
      <c r="C438" s="193">
        <v>960910</v>
      </c>
      <c r="D438" s="193" t="s">
        <v>170</v>
      </c>
      <c r="E438" s="193" t="s">
        <v>131</v>
      </c>
      <c r="F438" s="193" t="s">
        <v>131</v>
      </c>
      <c r="G438" s="193" t="s">
        <v>171</v>
      </c>
      <c r="H438" s="193" t="s">
        <v>172</v>
      </c>
      <c r="I438" s="193"/>
      <c r="J438" s="193"/>
      <c r="K438" s="193"/>
      <c r="L438" s="193"/>
      <c r="M438" s="193"/>
      <c r="N438" s="193"/>
      <c r="O438" s="197"/>
      <c r="P438" s="197"/>
      <c r="Q438" s="193"/>
      <c r="R438" s="193"/>
      <c r="S438" s="193"/>
      <c r="T438" s="193"/>
    </row>
    <row r="439" s="20" customFormat="1" ht="14.4" spans="1:20">
      <c r="A439" s="194" t="s">
        <v>799</v>
      </c>
      <c r="B439" s="195" t="s">
        <v>799</v>
      </c>
      <c r="C439" s="193">
        <v>960920</v>
      </c>
      <c r="D439" s="193" t="s">
        <v>783</v>
      </c>
      <c r="E439" s="193" t="s">
        <v>131</v>
      </c>
      <c r="F439" s="193" t="s">
        <v>131</v>
      </c>
      <c r="G439" s="193" t="str">
        <f>'Check list'!G38&amp;"-RW"</f>
        <v>IP4000@EF041A-58-RW</v>
      </c>
      <c r="H439" s="193" t="s">
        <v>175</v>
      </c>
      <c r="I439" s="193"/>
      <c r="J439" s="193" t="str">
        <f>'Check list'!$D$5&amp;"_58"</f>
        <v>EF041A_58</v>
      </c>
      <c r="K439" s="193"/>
      <c r="L439" s="193"/>
      <c r="M439" s="193"/>
      <c r="N439" s="193"/>
      <c r="O439" s="197"/>
      <c r="P439" s="197"/>
      <c r="Q439" s="193"/>
      <c r="R439" s="193"/>
      <c r="S439" s="193"/>
      <c r="T439" s="193"/>
    </row>
    <row r="440" s="20" customFormat="1" ht="14.4" spans="1:20">
      <c r="A440" s="194" t="s">
        <v>799</v>
      </c>
      <c r="B440" s="195" t="s">
        <v>799</v>
      </c>
      <c r="C440" s="193">
        <v>960930</v>
      </c>
      <c r="D440" s="193" t="s">
        <v>785</v>
      </c>
      <c r="E440" s="193" t="s">
        <v>131</v>
      </c>
      <c r="F440" s="193" t="s">
        <v>131</v>
      </c>
      <c r="G440" s="193" t="str">
        <f>'Check list'!$D$5&amp;"/"&amp;'Check list'!$D$5&amp;"_V3_PH_B"</f>
        <v>EF041A/EF041A_V3_PH_B</v>
      </c>
      <c r="H440" s="193" t="s">
        <v>178</v>
      </c>
      <c r="I440" s="193"/>
      <c r="J440" s="193"/>
      <c r="K440" s="193"/>
      <c r="L440" s="193"/>
      <c r="M440" s="193"/>
      <c r="N440" s="193"/>
      <c r="O440" s="197"/>
      <c r="P440" s="197"/>
      <c r="Q440" s="193"/>
      <c r="R440" s="193"/>
      <c r="S440" s="193"/>
      <c r="T440" s="193"/>
    </row>
    <row r="441" s="20" customFormat="1" ht="14.4" spans="1:20">
      <c r="A441" s="194" t="s">
        <v>799</v>
      </c>
      <c r="B441" s="195" t="s">
        <v>799</v>
      </c>
      <c r="C441" s="193">
        <v>960940</v>
      </c>
      <c r="D441" s="193" t="s">
        <v>248</v>
      </c>
      <c r="E441" s="193" t="s">
        <v>131</v>
      </c>
      <c r="F441" s="193" t="s">
        <v>131</v>
      </c>
      <c r="G441" s="193" t="str">
        <f>"OVL"&amp;'Check list'!$D$5&amp;"-58"</f>
        <v>OVLEF041A-58</v>
      </c>
      <c r="H441" s="193" t="s">
        <v>249</v>
      </c>
      <c r="I441" s="193"/>
      <c r="J441" s="193"/>
      <c r="K441" s="193"/>
      <c r="L441" s="193"/>
      <c r="M441" s="193"/>
      <c r="N441" s="193"/>
      <c r="O441" s="197"/>
      <c r="P441" s="197"/>
      <c r="Q441" s="193"/>
      <c r="R441" s="193"/>
      <c r="S441" s="193"/>
      <c r="T441" s="193"/>
    </row>
    <row r="442" s="20" customFormat="1" ht="14.4" spans="1:20">
      <c r="A442" s="194" t="s">
        <v>799</v>
      </c>
      <c r="B442" s="195" t="s">
        <v>799</v>
      </c>
      <c r="C442" s="193">
        <v>960950</v>
      </c>
      <c r="D442" s="193" t="s">
        <v>185</v>
      </c>
      <c r="E442" s="193" t="s">
        <v>131</v>
      </c>
      <c r="F442" s="193" t="s">
        <v>131</v>
      </c>
      <c r="G442" s="193" t="s">
        <v>132</v>
      </c>
      <c r="H442" s="193" t="s">
        <v>186</v>
      </c>
      <c r="I442" s="193"/>
      <c r="J442" s="193"/>
      <c r="K442" s="193"/>
      <c r="L442" s="193"/>
      <c r="M442" s="193"/>
      <c r="N442" s="193"/>
      <c r="O442" s="197"/>
      <c r="P442" s="197"/>
      <c r="Q442" s="193"/>
      <c r="R442" s="193"/>
      <c r="S442" s="193"/>
      <c r="T442" s="193"/>
    </row>
    <row r="443" s="20" customFormat="1" ht="14.4" spans="1:20">
      <c r="A443" s="194" t="s">
        <v>799</v>
      </c>
      <c r="B443" s="195" t="s">
        <v>799</v>
      </c>
      <c r="C443" s="193">
        <v>960960</v>
      </c>
      <c r="D443" s="193" t="s">
        <v>939</v>
      </c>
      <c r="E443" s="193"/>
      <c r="F443" s="193" t="s">
        <v>131</v>
      </c>
      <c r="G443" s="193" t="s">
        <v>940</v>
      </c>
      <c r="H443" s="193" t="s">
        <v>254</v>
      </c>
      <c r="I443" s="193"/>
      <c r="J443" s="193"/>
      <c r="K443" s="193"/>
      <c r="L443" s="193"/>
      <c r="M443" s="193"/>
      <c r="N443" s="193"/>
      <c r="O443" s="197"/>
      <c r="P443" s="197"/>
      <c r="Q443" s="193"/>
      <c r="R443" s="193"/>
      <c r="S443" s="193"/>
      <c r="T443" s="193"/>
    </row>
    <row r="444" s="20" customFormat="1" ht="14.4" spans="1:20">
      <c r="A444" s="194" t="s">
        <v>438</v>
      </c>
      <c r="B444" s="193" t="s">
        <v>438</v>
      </c>
      <c r="C444" s="193">
        <v>970010</v>
      </c>
      <c r="D444" s="193" t="s">
        <v>170</v>
      </c>
      <c r="E444" s="193"/>
      <c r="F444" s="193"/>
      <c r="G444" s="193" t="s">
        <v>171</v>
      </c>
      <c r="H444" s="193" t="s">
        <v>172</v>
      </c>
      <c r="I444" s="193"/>
      <c r="J444" s="193"/>
      <c r="K444" s="193"/>
      <c r="L444" s="193"/>
      <c r="M444" s="193"/>
      <c r="N444" s="193"/>
      <c r="O444" s="197"/>
      <c r="P444" s="197"/>
      <c r="Q444" s="193"/>
      <c r="R444" s="193"/>
      <c r="S444" s="193"/>
      <c r="T444" s="193"/>
    </row>
    <row r="445" s="20" customFormat="1" ht="14.4" spans="1:20">
      <c r="A445" s="194" t="s">
        <v>438</v>
      </c>
      <c r="B445" s="193" t="s">
        <v>438</v>
      </c>
      <c r="C445" s="193">
        <v>970020</v>
      </c>
      <c r="D445" s="193" t="s">
        <v>368</v>
      </c>
      <c r="E445" s="193"/>
      <c r="F445" s="193"/>
      <c r="G445" s="193" t="str">
        <f>'Check list'!G21&amp;"-RW"</f>
        <v>IP3000@EF041A-45-RW</v>
      </c>
      <c r="H445" s="193" t="s">
        <v>175</v>
      </c>
      <c r="I445" s="193"/>
      <c r="J445" s="193" t="str">
        <f>'Check list'!$D$5&amp;"_45"</f>
        <v>EF041A_45</v>
      </c>
      <c r="K445" s="193"/>
      <c r="L445" s="193"/>
      <c r="M445" s="193"/>
      <c r="N445" s="193"/>
      <c r="O445" s="197"/>
      <c r="P445" s="197"/>
      <c r="Q445" s="193"/>
      <c r="R445" s="193"/>
      <c r="S445" s="193"/>
      <c r="T445" s="193"/>
    </row>
    <row r="446" s="20" customFormat="1" ht="14.4" spans="1:20">
      <c r="A446" s="194" t="s">
        <v>438</v>
      </c>
      <c r="B446" s="193" t="s">
        <v>438</v>
      </c>
      <c r="C446" s="193">
        <v>970030</v>
      </c>
      <c r="D446" s="193" t="s">
        <v>370</v>
      </c>
      <c r="E446" s="193"/>
      <c r="F446" s="193"/>
      <c r="G446" s="193" t="str">
        <f>'Check list'!$D$5&amp;"/"&amp;'Check list'!$D$5&amp;"_F1_PH_B"</f>
        <v>EF041A/EF041A_F1_PH_B</v>
      </c>
      <c r="H446" s="193" t="s">
        <v>178</v>
      </c>
      <c r="I446" s="193"/>
      <c r="J446" s="193"/>
      <c r="K446" s="193"/>
      <c r="L446" s="193"/>
      <c r="M446" s="193"/>
      <c r="N446" s="193"/>
      <c r="O446" s="197"/>
      <c r="P446" s="197"/>
      <c r="Q446" s="193"/>
      <c r="R446" s="193"/>
      <c r="S446" s="193"/>
      <c r="T446" s="193"/>
    </row>
    <row r="447" s="20" customFormat="1" ht="14.4" spans="1:20">
      <c r="A447" s="194" t="s">
        <v>438</v>
      </c>
      <c r="B447" s="193" t="s">
        <v>438</v>
      </c>
      <c r="C447" s="193">
        <v>970040</v>
      </c>
      <c r="D447" s="193" t="s">
        <v>248</v>
      </c>
      <c r="E447" s="193"/>
      <c r="F447" s="193"/>
      <c r="G447" s="193" t="str">
        <f>"OVL"&amp;'Check list'!$D$5&amp;"-45"</f>
        <v>OVLEF041A-45</v>
      </c>
      <c r="H447" s="193" t="s">
        <v>249</v>
      </c>
      <c r="I447" s="193"/>
      <c r="J447" s="193"/>
      <c r="K447" s="193"/>
      <c r="L447" s="193"/>
      <c r="M447" s="193"/>
      <c r="N447" s="193"/>
      <c r="O447" s="197"/>
      <c r="P447" s="197"/>
      <c r="Q447" s="193"/>
      <c r="R447" s="193"/>
      <c r="S447" s="193"/>
      <c r="T447" s="193"/>
    </row>
    <row r="448" s="20" customFormat="1" ht="14.4" spans="1:20">
      <c r="A448" s="194" t="s">
        <v>438</v>
      </c>
      <c r="B448" s="193" t="s">
        <v>438</v>
      </c>
      <c r="C448" s="193">
        <v>970050</v>
      </c>
      <c r="D448" s="193" t="s">
        <v>185</v>
      </c>
      <c r="E448" s="193"/>
      <c r="F448" s="193"/>
      <c r="G448" s="193" t="s">
        <v>132</v>
      </c>
      <c r="H448" s="193" t="s">
        <v>186</v>
      </c>
      <c r="I448" s="193"/>
      <c r="J448" s="193"/>
      <c r="K448" s="193"/>
      <c r="L448" s="193"/>
      <c r="M448" s="193"/>
      <c r="N448" s="193"/>
      <c r="O448" s="197"/>
      <c r="P448" s="197"/>
      <c r="Q448" s="193"/>
      <c r="R448" s="193"/>
      <c r="S448" s="193"/>
      <c r="T448" s="193"/>
    </row>
    <row r="449" s="20" customFormat="1" ht="14.4" spans="1:20">
      <c r="A449" s="194" t="s">
        <v>438</v>
      </c>
      <c r="B449" s="193" t="s">
        <v>438</v>
      </c>
      <c r="C449" s="193">
        <v>970060</v>
      </c>
      <c r="D449" s="193" t="s">
        <v>941</v>
      </c>
      <c r="E449" s="193"/>
      <c r="F449" s="193"/>
      <c r="G449" s="193" t="s">
        <v>942</v>
      </c>
      <c r="H449" s="193" t="s">
        <v>414</v>
      </c>
      <c r="I449" s="193"/>
      <c r="J449" s="193"/>
      <c r="K449" s="193"/>
      <c r="L449" s="193"/>
      <c r="M449" s="193"/>
      <c r="N449" s="193"/>
      <c r="O449" s="197"/>
      <c r="P449" s="197"/>
      <c r="Q449" s="193"/>
      <c r="R449" s="193"/>
      <c r="S449" s="193"/>
      <c r="T449" s="193"/>
    </row>
    <row r="450" s="20" customFormat="1" ht="14.4" spans="1:20">
      <c r="A450" s="194" t="s">
        <v>461</v>
      </c>
      <c r="B450" s="193" t="s">
        <v>461</v>
      </c>
      <c r="C450" s="193">
        <v>970110</v>
      </c>
      <c r="D450" s="193" t="s">
        <v>170</v>
      </c>
      <c r="E450" s="193" t="s">
        <v>131</v>
      </c>
      <c r="F450" s="193" t="s">
        <v>131</v>
      </c>
      <c r="G450" s="193" t="s">
        <v>171</v>
      </c>
      <c r="H450" s="193" t="s">
        <v>172</v>
      </c>
      <c r="I450" s="193"/>
      <c r="J450" s="193"/>
      <c r="K450" s="193"/>
      <c r="L450" s="193"/>
      <c r="M450" s="193"/>
      <c r="N450" s="193"/>
      <c r="O450" s="197"/>
      <c r="P450" s="197"/>
      <c r="Q450" s="193"/>
      <c r="R450" s="193"/>
      <c r="S450" s="193"/>
      <c r="T450" s="193"/>
    </row>
    <row r="451" s="20" customFormat="1" ht="14.4" spans="1:20">
      <c r="A451" s="194" t="s">
        <v>461</v>
      </c>
      <c r="B451" s="193" t="s">
        <v>461</v>
      </c>
      <c r="C451" s="193">
        <v>970120</v>
      </c>
      <c r="D451" s="193" t="s">
        <v>444</v>
      </c>
      <c r="E451" s="193" t="s">
        <v>131</v>
      </c>
      <c r="F451" s="193" t="s">
        <v>131</v>
      </c>
      <c r="G451" s="193" t="str">
        <f>'Check list'!G22&amp;"-RW"</f>
        <v>IP3000@EF041A-09-RW</v>
      </c>
      <c r="H451" s="193" t="s">
        <v>175</v>
      </c>
      <c r="I451" s="193"/>
      <c r="J451" s="193" t="str">
        <f>'Check list'!$D$5&amp;"_09"</f>
        <v>EF041A_09</v>
      </c>
      <c r="K451" s="193"/>
      <c r="L451" s="193"/>
      <c r="M451" s="193"/>
      <c r="N451" s="193"/>
      <c r="O451" s="197"/>
      <c r="P451" s="197"/>
      <c r="Q451" s="193"/>
      <c r="R451" s="193"/>
      <c r="S451" s="193"/>
      <c r="T451" s="193"/>
    </row>
    <row r="452" s="20" customFormat="1" ht="14.4" spans="1:20">
      <c r="A452" s="194" t="s">
        <v>461</v>
      </c>
      <c r="B452" s="193" t="s">
        <v>461</v>
      </c>
      <c r="C452" s="193">
        <v>970130</v>
      </c>
      <c r="D452" s="193" t="s">
        <v>446</v>
      </c>
      <c r="E452" s="193" t="s">
        <v>131</v>
      </c>
      <c r="F452" s="193" t="s">
        <v>131</v>
      </c>
      <c r="G452" s="193" t="str">
        <f>'Check list'!$D$5&amp;"/"&amp;'Check list'!$D$5&amp;"_PM_PH_B"</f>
        <v>EF041A/EF041A_PM_PH_B</v>
      </c>
      <c r="H452" s="193" t="s">
        <v>178</v>
      </c>
      <c r="I452" s="193"/>
      <c r="J452" s="193"/>
      <c r="K452" s="193"/>
      <c r="L452" s="193"/>
      <c r="M452" s="193"/>
      <c r="N452" s="193"/>
      <c r="O452" s="197"/>
      <c r="P452" s="197"/>
      <c r="Q452" s="193"/>
      <c r="R452" s="193"/>
      <c r="S452" s="193"/>
      <c r="T452" s="193"/>
    </row>
    <row r="453" s="20" customFormat="1" ht="14.4" spans="1:20">
      <c r="A453" s="194" t="s">
        <v>461</v>
      </c>
      <c r="B453" s="193" t="s">
        <v>461</v>
      </c>
      <c r="C453" s="193">
        <v>970140</v>
      </c>
      <c r="D453" s="193" t="s">
        <v>449</v>
      </c>
      <c r="E453" s="193" t="s">
        <v>131</v>
      </c>
      <c r="F453" s="193" t="s">
        <v>131</v>
      </c>
      <c r="G453" s="193" t="str">
        <f>"OVL"&amp;'Check list'!$D$5&amp;"-09"</f>
        <v>OVLEF041A-09</v>
      </c>
      <c r="H453" s="193" t="s">
        <v>249</v>
      </c>
      <c r="I453" s="193"/>
      <c r="J453" s="193"/>
      <c r="K453" s="193"/>
      <c r="L453" s="193"/>
      <c r="M453" s="193"/>
      <c r="N453" s="193"/>
      <c r="O453" s="197"/>
      <c r="P453" s="197"/>
      <c r="Q453" s="193"/>
      <c r="R453" s="193"/>
      <c r="S453" s="193"/>
      <c r="T453" s="193"/>
    </row>
    <row r="454" s="20" customFormat="1" ht="14.4" spans="1:20">
      <c r="A454" s="194" t="s">
        <v>461</v>
      </c>
      <c r="B454" s="193" t="s">
        <v>461</v>
      </c>
      <c r="C454" s="193">
        <v>970150</v>
      </c>
      <c r="D454" s="193" t="s">
        <v>185</v>
      </c>
      <c r="E454" s="193"/>
      <c r="F454" s="193" t="s">
        <v>131</v>
      </c>
      <c r="G454" s="193" t="s">
        <v>132</v>
      </c>
      <c r="H454" s="193" t="s">
        <v>186</v>
      </c>
      <c r="I454" s="193"/>
      <c r="J454" s="193"/>
      <c r="K454" s="193"/>
      <c r="L454" s="193"/>
      <c r="M454" s="193"/>
      <c r="N454" s="193"/>
      <c r="O454" s="197"/>
      <c r="P454" s="197"/>
      <c r="Q454" s="193"/>
      <c r="R454" s="193"/>
      <c r="S454" s="193"/>
      <c r="T454" s="193"/>
    </row>
    <row r="455" s="20" customFormat="1" ht="14.4" spans="1:20">
      <c r="A455" s="194" t="s">
        <v>461</v>
      </c>
      <c r="B455" s="193" t="s">
        <v>461</v>
      </c>
      <c r="C455" s="193">
        <v>970160</v>
      </c>
      <c r="D455" s="193" t="s">
        <v>943</v>
      </c>
      <c r="E455" s="193"/>
      <c r="F455" s="193" t="s">
        <v>131</v>
      </c>
      <c r="G455" s="193" t="s">
        <v>942</v>
      </c>
      <c r="H455" s="193" t="s">
        <v>414</v>
      </c>
      <c r="I455" s="193"/>
      <c r="J455" s="193"/>
      <c r="K455" s="193"/>
      <c r="L455" s="193"/>
      <c r="M455" s="193"/>
      <c r="N455" s="193"/>
      <c r="O455" s="197"/>
      <c r="P455" s="197"/>
      <c r="Q455" s="193"/>
      <c r="R455" s="193"/>
      <c r="S455" s="193"/>
      <c r="T455" s="193"/>
    </row>
    <row r="456" s="20" customFormat="1" ht="14.4" spans="1:20">
      <c r="A456" s="194" t="s">
        <v>505</v>
      </c>
      <c r="B456" s="193" t="s">
        <v>505</v>
      </c>
      <c r="C456" s="193">
        <v>970210</v>
      </c>
      <c r="D456" s="193" t="s">
        <v>170</v>
      </c>
      <c r="E456" s="193"/>
      <c r="F456" s="193" t="s">
        <v>131</v>
      </c>
      <c r="G456" s="193" t="s">
        <v>171</v>
      </c>
      <c r="H456" s="193" t="s">
        <v>172</v>
      </c>
      <c r="I456" s="193"/>
      <c r="J456" s="193"/>
      <c r="K456" s="193"/>
      <c r="L456" s="193"/>
      <c r="M456" s="193"/>
      <c r="N456" s="193"/>
      <c r="O456" s="197"/>
      <c r="P456" s="197"/>
      <c r="Q456" s="193"/>
      <c r="R456" s="193"/>
      <c r="S456" s="193"/>
      <c r="T456" s="193"/>
    </row>
    <row r="457" s="20" customFormat="1" ht="14.4" spans="1:20">
      <c r="A457" s="194" t="s">
        <v>505</v>
      </c>
      <c r="B457" s="193" t="s">
        <v>505</v>
      </c>
      <c r="C457" s="193">
        <v>970220</v>
      </c>
      <c r="D457" s="193" t="s">
        <v>490</v>
      </c>
      <c r="E457" s="193"/>
      <c r="F457" s="193" t="s">
        <v>131</v>
      </c>
      <c r="G457" s="193" t="str">
        <f>'Check list'!G24&amp;"-RW"</f>
        <v>IP3000@EF041A-35-RW</v>
      </c>
      <c r="H457" s="193" t="s">
        <v>175</v>
      </c>
      <c r="I457" s="193"/>
      <c r="J457" s="193" t="str">
        <f>'Check list'!$D$5&amp;"_35"</f>
        <v>EF041A_35</v>
      </c>
      <c r="K457" s="193"/>
      <c r="L457" s="193"/>
      <c r="M457" s="193"/>
      <c r="N457" s="193"/>
      <c r="O457" s="197"/>
      <c r="P457" s="197"/>
      <c r="Q457" s="193"/>
      <c r="R457" s="193"/>
      <c r="S457" s="193"/>
      <c r="T457" s="193"/>
    </row>
    <row r="458" s="20" customFormat="1" ht="14.4" spans="1:20">
      <c r="A458" s="194" t="s">
        <v>505</v>
      </c>
      <c r="B458" s="193" t="s">
        <v>505</v>
      </c>
      <c r="C458" s="193">
        <v>970230</v>
      </c>
      <c r="D458" s="193" t="s">
        <v>492</v>
      </c>
      <c r="E458" s="193"/>
      <c r="F458" s="193" t="s">
        <v>131</v>
      </c>
      <c r="G458" s="193" t="str">
        <f>'Check list'!$D$5&amp;"/"&amp;'Check list'!$D$5&amp;"_T1_PH_B"</f>
        <v>EF041A/EF041A_T1_PH_B</v>
      </c>
      <c r="H458" s="193" t="s">
        <v>178</v>
      </c>
      <c r="I458" s="193"/>
      <c r="J458" s="193"/>
      <c r="K458" s="193"/>
      <c r="L458" s="193"/>
      <c r="M458" s="193"/>
      <c r="N458" s="193"/>
      <c r="O458" s="197"/>
      <c r="P458" s="197"/>
      <c r="Q458" s="193"/>
      <c r="R458" s="193"/>
      <c r="S458" s="193"/>
      <c r="T458" s="193"/>
    </row>
    <row r="459" s="20" customFormat="1" ht="14.4" spans="1:20">
      <c r="A459" s="194" t="s">
        <v>505</v>
      </c>
      <c r="B459" s="193" t="s">
        <v>505</v>
      </c>
      <c r="C459" s="193">
        <v>970240</v>
      </c>
      <c r="D459" s="193" t="s">
        <v>248</v>
      </c>
      <c r="E459" s="193"/>
      <c r="F459" s="193" t="s">
        <v>131</v>
      </c>
      <c r="G459" s="193" t="str">
        <f>"OVL"&amp;'Check list'!$D$5&amp;"-35"</f>
        <v>OVLEF041A-35</v>
      </c>
      <c r="H459" s="193" t="s">
        <v>249</v>
      </c>
      <c r="I459" s="193"/>
      <c r="J459" s="193"/>
      <c r="K459" s="193"/>
      <c r="L459" s="193"/>
      <c r="M459" s="193"/>
      <c r="N459" s="193"/>
      <c r="O459" s="197"/>
      <c r="P459" s="197"/>
      <c r="Q459" s="193"/>
      <c r="R459" s="193"/>
      <c r="S459" s="193"/>
      <c r="T459" s="193"/>
    </row>
    <row r="460" s="20" customFormat="1" ht="14.4" spans="1:20">
      <c r="A460" s="194" t="s">
        <v>505</v>
      </c>
      <c r="B460" s="193" t="s">
        <v>505</v>
      </c>
      <c r="C460" s="193">
        <v>970250</v>
      </c>
      <c r="D460" s="193" t="s">
        <v>185</v>
      </c>
      <c r="E460" s="193"/>
      <c r="F460" s="193" t="s">
        <v>131</v>
      </c>
      <c r="G460" s="193" t="s">
        <v>132</v>
      </c>
      <c r="H460" s="193" t="s">
        <v>186</v>
      </c>
      <c r="I460" s="193"/>
      <c r="J460" s="193"/>
      <c r="K460" s="193"/>
      <c r="L460" s="193"/>
      <c r="M460" s="193"/>
      <c r="N460" s="193"/>
      <c r="O460" s="197"/>
      <c r="P460" s="197"/>
      <c r="Q460" s="193"/>
      <c r="R460" s="193"/>
      <c r="S460" s="193"/>
      <c r="T460" s="193"/>
    </row>
    <row r="461" s="20" customFormat="1" ht="14.4" spans="1:20">
      <c r="A461" s="194" t="s">
        <v>505</v>
      </c>
      <c r="B461" s="193" t="s">
        <v>505</v>
      </c>
      <c r="C461" s="193">
        <v>970260</v>
      </c>
      <c r="D461" s="193" t="s">
        <v>944</v>
      </c>
      <c r="E461" s="193"/>
      <c r="F461" s="193" t="s">
        <v>131</v>
      </c>
      <c r="G461" s="193" t="s">
        <v>942</v>
      </c>
      <c r="H461" s="193" t="s">
        <v>414</v>
      </c>
      <c r="I461" s="193"/>
      <c r="J461" s="193"/>
      <c r="K461" s="193"/>
      <c r="L461" s="193"/>
      <c r="M461" s="193"/>
      <c r="N461" s="193"/>
      <c r="O461" s="197"/>
      <c r="P461" s="197"/>
      <c r="Q461" s="193"/>
      <c r="R461" s="193"/>
      <c r="S461" s="193"/>
      <c r="T461" s="193"/>
    </row>
    <row r="462" s="20" customFormat="1" ht="14.4" spans="1:20">
      <c r="A462" s="194" t="s">
        <v>525</v>
      </c>
      <c r="B462" s="193" t="s">
        <v>525</v>
      </c>
      <c r="C462" s="193">
        <v>970310</v>
      </c>
      <c r="D462" s="193" t="s">
        <v>170</v>
      </c>
      <c r="E462" s="193"/>
      <c r="F462" s="193"/>
      <c r="G462" s="193" t="s">
        <v>171</v>
      </c>
      <c r="H462" s="193" t="s">
        <v>172</v>
      </c>
      <c r="I462" s="193"/>
      <c r="J462" s="193"/>
      <c r="K462" s="193"/>
      <c r="L462" s="193"/>
      <c r="M462" s="193"/>
      <c r="N462" s="193"/>
      <c r="O462" s="197"/>
      <c r="P462" s="197"/>
      <c r="Q462" s="193"/>
      <c r="R462" s="193"/>
      <c r="S462" s="193"/>
      <c r="T462" s="193"/>
    </row>
    <row r="463" s="20" customFormat="1" ht="14.4" spans="1:20">
      <c r="A463" s="194" t="s">
        <v>525</v>
      </c>
      <c r="B463" s="193" t="s">
        <v>525</v>
      </c>
      <c r="C463" s="193">
        <v>970320</v>
      </c>
      <c r="D463" s="193" t="s">
        <v>510</v>
      </c>
      <c r="E463" s="193"/>
      <c r="F463" s="193"/>
      <c r="G463" s="193" t="str">
        <f>'Check list'!G25&amp;"-RW"</f>
        <v>IP3000@EF041A-36-RW</v>
      </c>
      <c r="H463" s="193" t="s">
        <v>175</v>
      </c>
      <c r="I463" s="193"/>
      <c r="J463" s="193" t="str">
        <f>'Check list'!$D$5&amp;"_36"</f>
        <v>EF041A_36</v>
      </c>
      <c r="K463" s="193"/>
      <c r="L463" s="193"/>
      <c r="M463" s="193"/>
      <c r="N463" s="193"/>
      <c r="O463" s="197"/>
      <c r="P463" s="197"/>
      <c r="Q463" s="193"/>
      <c r="R463" s="193"/>
      <c r="S463" s="193"/>
      <c r="T463" s="193"/>
    </row>
    <row r="464" s="20" customFormat="1" ht="14.4" spans="1:20">
      <c r="A464" s="194" t="s">
        <v>525</v>
      </c>
      <c r="B464" s="193" t="s">
        <v>525</v>
      </c>
      <c r="C464" s="193">
        <v>970330</v>
      </c>
      <c r="D464" s="193" t="s">
        <v>512</v>
      </c>
      <c r="E464" s="193"/>
      <c r="F464" s="193"/>
      <c r="G464" s="193" t="str">
        <f>'Check list'!$D$5&amp;"/"&amp;'Check list'!$D$5&amp;"_T2_PH_B"</f>
        <v>EF041A/EF041A_T2_PH_B</v>
      </c>
      <c r="H464" s="193" t="s">
        <v>178</v>
      </c>
      <c r="I464" s="193"/>
      <c r="J464" s="193"/>
      <c r="K464" s="193"/>
      <c r="L464" s="193"/>
      <c r="M464" s="193"/>
      <c r="N464" s="193"/>
      <c r="O464" s="197"/>
      <c r="P464" s="197"/>
      <c r="Q464" s="193"/>
      <c r="R464" s="193"/>
      <c r="S464" s="193"/>
      <c r="T464" s="193"/>
    </row>
    <row r="465" s="20" customFormat="1" ht="14.4" spans="1:20">
      <c r="A465" s="194" t="s">
        <v>525</v>
      </c>
      <c r="B465" s="193" t="s">
        <v>525</v>
      </c>
      <c r="C465" s="193">
        <v>970340</v>
      </c>
      <c r="D465" s="193" t="s">
        <v>248</v>
      </c>
      <c r="E465" s="193"/>
      <c r="F465" s="193"/>
      <c r="G465" s="193" t="str">
        <f>"OVL"&amp;'Check list'!$D$5&amp;"-36"</f>
        <v>OVLEF041A-36</v>
      </c>
      <c r="H465" s="193" t="s">
        <v>249</v>
      </c>
      <c r="I465" s="193"/>
      <c r="J465" s="193"/>
      <c r="K465" s="193"/>
      <c r="L465" s="193"/>
      <c r="M465" s="193"/>
      <c r="N465" s="193"/>
      <c r="O465" s="197"/>
      <c r="P465" s="197"/>
      <c r="Q465" s="193"/>
      <c r="R465" s="193"/>
      <c r="S465" s="193"/>
      <c r="T465" s="193"/>
    </row>
    <row r="466" s="20" customFormat="1" ht="14.4" spans="1:20">
      <c r="A466" s="194" t="s">
        <v>525</v>
      </c>
      <c r="B466" s="193" t="s">
        <v>525</v>
      </c>
      <c r="C466" s="193">
        <v>970350</v>
      </c>
      <c r="D466" s="193" t="s">
        <v>185</v>
      </c>
      <c r="E466" s="193"/>
      <c r="F466" s="193"/>
      <c r="G466" s="193" t="s">
        <v>132</v>
      </c>
      <c r="H466" s="193" t="s">
        <v>186</v>
      </c>
      <c r="I466" s="193"/>
      <c r="J466" s="193"/>
      <c r="K466" s="193"/>
      <c r="L466" s="193"/>
      <c r="M466" s="193"/>
      <c r="N466" s="193"/>
      <c r="O466" s="197"/>
      <c r="P466" s="197"/>
      <c r="Q466" s="193"/>
      <c r="R466" s="193"/>
      <c r="S466" s="193"/>
      <c r="T466" s="193"/>
    </row>
    <row r="467" s="20" customFormat="1" ht="14.4" spans="1:20">
      <c r="A467" s="194" t="s">
        <v>525</v>
      </c>
      <c r="B467" s="193" t="s">
        <v>525</v>
      </c>
      <c r="C467" s="193">
        <v>970360</v>
      </c>
      <c r="D467" s="193" t="s">
        <v>945</v>
      </c>
      <c r="E467" s="193"/>
      <c r="F467" s="193"/>
      <c r="G467" s="193" t="s">
        <v>942</v>
      </c>
      <c r="H467" s="193" t="s">
        <v>414</v>
      </c>
      <c r="I467" s="193"/>
      <c r="J467" s="193"/>
      <c r="K467" s="193"/>
      <c r="L467" s="193"/>
      <c r="M467" s="193"/>
      <c r="N467" s="193"/>
      <c r="O467" s="197"/>
      <c r="P467" s="197"/>
      <c r="Q467" s="193"/>
      <c r="R467" s="193"/>
      <c r="S467" s="193"/>
      <c r="T467" s="193"/>
    </row>
    <row r="468" s="20" customFormat="1" ht="14.4" spans="1:20">
      <c r="A468" s="194" t="s">
        <v>545</v>
      </c>
      <c r="B468" s="193" t="s">
        <v>545</v>
      </c>
      <c r="C468" s="193">
        <v>970410</v>
      </c>
      <c r="D468" s="193" t="s">
        <v>170</v>
      </c>
      <c r="E468" s="193"/>
      <c r="F468" s="193"/>
      <c r="G468" s="193" t="s">
        <v>171</v>
      </c>
      <c r="H468" s="193" t="s">
        <v>172</v>
      </c>
      <c r="I468" s="193"/>
      <c r="J468" s="193"/>
      <c r="K468" s="193"/>
      <c r="L468" s="193"/>
      <c r="M468" s="193"/>
      <c r="N468" s="193"/>
      <c r="O468" s="197"/>
      <c r="P468" s="197"/>
      <c r="Q468" s="193"/>
      <c r="R468" s="193"/>
      <c r="S468" s="193"/>
      <c r="T468" s="193"/>
    </row>
    <row r="469" s="20" customFormat="1" ht="14.4" spans="1:20">
      <c r="A469" s="194" t="s">
        <v>545</v>
      </c>
      <c r="B469" s="193" t="s">
        <v>545</v>
      </c>
      <c r="C469" s="193">
        <v>970420</v>
      </c>
      <c r="D469" s="193" t="s">
        <v>530</v>
      </c>
      <c r="E469" s="193"/>
      <c r="F469" s="193"/>
      <c r="G469" s="193" t="str">
        <f>'Check list'!G26&amp;"-RW"</f>
        <v>IP3000@EF041A-135-RW</v>
      </c>
      <c r="H469" s="193" t="s">
        <v>175</v>
      </c>
      <c r="I469" s="193"/>
      <c r="J469" s="193" t="str">
        <f>'Check list'!$D$5&amp;"_135"</f>
        <v>EF041A_135</v>
      </c>
      <c r="K469" s="193"/>
      <c r="L469" s="193"/>
      <c r="M469" s="193"/>
      <c r="N469" s="193"/>
      <c r="O469" s="197"/>
      <c r="P469" s="197"/>
      <c r="Q469" s="193"/>
      <c r="R469" s="193"/>
      <c r="S469" s="193"/>
      <c r="T469" s="193"/>
    </row>
    <row r="470" s="20" customFormat="1" ht="14.4" spans="1:20">
      <c r="A470" s="194" t="s">
        <v>545</v>
      </c>
      <c r="B470" s="193" t="s">
        <v>545</v>
      </c>
      <c r="C470" s="193">
        <v>970430</v>
      </c>
      <c r="D470" s="193" t="s">
        <v>532</v>
      </c>
      <c r="E470" s="193"/>
      <c r="F470" s="193"/>
      <c r="G470" s="193" t="str">
        <f>'Check list'!$D$5&amp;"/"&amp;'Check list'!$D$5&amp;"_T3_PH_B"</f>
        <v>EF041A/EF041A_T3_PH_B</v>
      </c>
      <c r="H470" s="193" t="s">
        <v>178</v>
      </c>
      <c r="I470" s="193"/>
      <c r="J470" s="193"/>
      <c r="K470" s="193"/>
      <c r="L470" s="193"/>
      <c r="M470" s="193"/>
      <c r="N470" s="193"/>
      <c r="O470" s="197"/>
      <c r="P470" s="197"/>
      <c r="Q470" s="193"/>
      <c r="R470" s="193"/>
      <c r="S470" s="193"/>
      <c r="T470" s="193"/>
    </row>
    <row r="471" s="20" customFormat="1" ht="14.4" spans="1:20">
      <c r="A471" s="194" t="s">
        <v>545</v>
      </c>
      <c r="B471" s="193" t="s">
        <v>545</v>
      </c>
      <c r="C471" s="193">
        <v>970440</v>
      </c>
      <c r="D471" s="193" t="s">
        <v>248</v>
      </c>
      <c r="E471" s="193"/>
      <c r="F471" s="193"/>
      <c r="G471" s="193" t="str">
        <f>"OVL"&amp;'Check list'!$D$5&amp;"-37"</f>
        <v>OVLEF041A-37</v>
      </c>
      <c r="H471" s="193" t="s">
        <v>249</v>
      </c>
      <c r="I471" s="193"/>
      <c r="J471" s="193"/>
      <c r="K471" s="193"/>
      <c r="L471" s="193"/>
      <c r="M471" s="193"/>
      <c r="N471" s="193"/>
      <c r="O471" s="197"/>
      <c r="P471" s="197"/>
      <c r="Q471" s="193"/>
      <c r="R471" s="193"/>
      <c r="S471" s="193"/>
      <c r="T471" s="193"/>
    </row>
    <row r="472" s="20" customFormat="1" ht="14.4" spans="1:20">
      <c r="A472" s="194" t="s">
        <v>545</v>
      </c>
      <c r="B472" s="193" t="s">
        <v>545</v>
      </c>
      <c r="C472" s="193">
        <v>970450</v>
      </c>
      <c r="D472" s="193" t="s">
        <v>185</v>
      </c>
      <c r="E472" s="193"/>
      <c r="F472" s="193"/>
      <c r="G472" s="193" t="s">
        <v>132</v>
      </c>
      <c r="H472" s="193" t="s">
        <v>186</v>
      </c>
      <c r="I472" s="193"/>
      <c r="J472" s="193"/>
      <c r="K472" s="193"/>
      <c r="L472" s="193"/>
      <c r="M472" s="193"/>
      <c r="N472" s="193"/>
      <c r="O472" s="197"/>
      <c r="P472" s="197"/>
      <c r="Q472" s="193"/>
      <c r="R472" s="193"/>
      <c r="S472" s="193"/>
      <c r="T472" s="193"/>
    </row>
    <row r="473" s="20" customFormat="1" ht="14.4" spans="1:20">
      <c r="A473" s="194" t="s">
        <v>545</v>
      </c>
      <c r="B473" s="193" t="s">
        <v>545</v>
      </c>
      <c r="C473" s="193">
        <v>970460</v>
      </c>
      <c r="D473" s="193" t="s">
        <v>946</v>
      </c>
      <c r="E473" s="193"/>
      <c r="F473" s="193"/>
      <c r="G473" s="193" t="s">
        <v>942</v>
      </c>
      <c r="H473" s="193" t="s">
        <v>414</v>
      </c>
      <c r="I473" s="193"/>
      <c r="J473" s="193"/>
      <c r="K473" s="193"/>
      <c r="L473" s="193"/>
      <c r="M473" s="193"/>
      <c r="N473" s="193"/>
      <c r="O473" s="197"/>
      <c r="P473" s="197"/>
      <c r="Q473" s="193"/>
      <c r="R473" s="193"/>
      <c r="S473" s="193"/>
      <c r="T473" s="193"/>
    </row>
    <row r="474" s="20" customFormat="1" ht="14.4" spans="1:20">
      <c r="A474" s="194" t="s">
        <v>565</v>
      </c>
      <c r="B474" s="193" t="s">
        <v>565</v>
      </c>
      <c r="C474" s="193">
        <v>970510</v>
      </c>
      <c r="D474" s="193" t="s">
        <v>170</v>
      </c>
      <c r="E474" s="193"/>
      <c r="F474" s="193"/>
      <c r="G474" s="193" t="s">
        <v>171</v>
      </c>
      <c r="H474" s="193" t="s">
        <v>172</v>
      </c>
      <c r="I474" s="193"/>
      <c r="J474" s="193"/>
      <c r="K474" s="193"/>
      <c r="L474" s="193"/>
      <c r="M474" s="193"/>
      <c r="N474" s="193"/>
      <c r="O474" s="197"/>
      <c r="P474" s="197"/>
      <c r="Q474" s="193"/>
      <c r="R474" s="193"/>
      <c r="S474" s="193"/>
      <c r="T474" s="193"/>
    </row>
    <row r="475" s="20" customFormat="1" ht="14.4" spans="1:20">
      <c r="A475" s="194" t="s">
        <v>565</v>
      </c>
      <c r="B475" s="193" t="s">
        <v>565</v>
      </c>
      <c r="C475" s="193">
        <v>970520</v>
      </c>
      <c r="D475" s="193" t="s">
        <v>550</v>
      </c>
      <c r="E475" s="193"/>
      <c r="F475" s="193"/>
      <c r="G475" s="193" t="str">
        <f>'Check list'!G27&amp;"-RW"</f>
        <v>IP3000@EF041A-136-RW</v>
      </c>
      <c r="H475" s="193" t="s">
        <v>175</v>
      </c>
      <c r="I475" s="193"/>
      <c r="J475" s="193" t="str">
        <f>'Check list'!$D$5&amp;"_136"</f>
        <v>EF041A_136</v>
      </c>
      <c r="K475" s="193"/>
      <c r="L475" s="193"/>
      <c r="M475" s="193"/>
      <c r="N475" s="193"/>
      <c r="O475" s="197"/>
      <c r="P475" s="197"/>
      <c r="Q475" s="193"/>
      <c r="R475" s="193"/>
      <c r="S475" s="193"/>
      <c r="T475" s="193"/>
    </row>
    <row r="476" s="20" customFormat="1" ht="14.4" spans="1:20">
      <c r="A476" s="194" t="s">
        <v>565</v>
      </c>
      <c r="B476" s="193" t="s">
        <v>565</v>
      </c>
      <c r="C476" s="193">
        <v>970530</v>
      </c>
      <c r="D476" s="193" t="s">
        <v>552</v>
      </c>
      <c r="E476" s="193"/>
      <c r="F476" s="193"/>
      <c r="G476" s="193" t="str">
        <f>'Check list'!$D$5&amp;"/"&amp;'Check list'!$D$5&amp;"_T4_PH_B"</f>
        <v>EF041A/EF041A_T4_PH_B</v>
      </c>
      <c r="H476" s="193" t="s">
        <v>178</v>
      </c>
      <c r="I476" s="193"/>
      <c r="J476" s="193"/>
      <c r="K476" s="193"/>
      <c r="L476" s="193"/>
      <c r="M476" s="193"/>
      <c r="N476" s="193"/>
      <c r="O476" s="197"/>
      <c r="P476" s="197"/>
      <c r="Q476" s="193"/>
      <c r="R476" s="193"/>
      <c r="S476" s="193"/>
      <c r="T476" s="193"/>
    </row>
    <row r="477" s="20" customFormat="1" ht="14.4" spans="1:20">
      <c r="A477" s="194" t="s">
        <v>565</v>
      </c>
      <c r="B477" s="193" t="s">
        <v>565</v>
      </c>
      <c r="C477" s="193">
        <v>970540</v>
      </c>
      <c r="D477" s="193" t="s">
        <v>248</v>
      </c>
      <c r="E477" s="193"/>
      <c r="F477" s="193"/>
      <c r="G477" s="193" t="str">
        <f>"OVL"&amp;'Check list'!$D$5&amp;"-38"</f>
        <v>OVLEF041A-38</v>
      </c>
      <c r="H477" s="193" t="s">
        <v>249</v>
      </c>
      <c r="I477" s="193"/>
      <c r="J477" s="193"/>
      <c r="K477" s="193"/>
      <c r="L477" s="193"/>
      <c r="M477" s="193"/>
      <c r="N477" s="193"/>
      <c r="O477" s="197"/>
      <c r="P477" s="197"/>
      <c r="Q477" s="193"/>
      <c r="R477" s="193"/>
      <c r="S477" s="193"/>
      <c r="T477" s="193"/>
    </row>
    <row r="478" s="20" customFormat="1" ht="14.4" spans="1:20">
      <c r="A478" s="194" t="s">
        <v>565</v>
      </c>
      <c r="B478" s="193" t="s">
        <v>565</v>
      </c>
      <c r="C478" s="193">
        <v>970550</v>
      </c>
      <c r="D478" s="193" t="s">
        <v>185</v>
      </c>
      <c r="E478" s="193"/>
      <c r="F478" s="193"/>
      <c r="G478" s="193" t="s">
        <v>132</v>
      </c>
      <c r="H478" s="193" t="s">
        <v>186</v>
      </c>
      <c r="I478" s="193"/>
      <c r="J478" s="193"/>
      <c r="K478" s="193"/>
      <c r="L478" s="193"/>
      <c r="M478" s="193"/>
      <c r="N478" s="193"/>
      <c r="O478" s="197"/>
      <c r="P478" s="197"/>
      <c r="Q478" s="193"/>
      <c r="R478" s="193"/>
      <c r="S478" s="193"/>
      <c r="T478" s="193"/>
    </row>
    <row r="479" s="20" customFormat="1" ht="14.4" spans="1:20">
      <c r="A479" s="194" t="s">
        <v>565</v>
      </c>
      <c r="B479" s="193" t="s">
        <v>565</v>
      </c>
      <c r="C479" s="193">
        <v>970560</v>
      </c>
      <c r="D479" s="193" t="s">
        <v>947</v>
      </c>
      <c r="E479" s="193"/>
      <c r="F479" s="193"/>
      <c r="G479" s="193" t="s">
        <v>942</v>
      </c>
      <c r="H479" s="193" t="s">
        <v>414</v>
      </c>
      <c r="I479" s="193"/>
      <c r="J479" s="193"/>
      <c r="K479" s="193"/>
      <c r="L479" s="193"/>
      <c r="M479" s="193"/>
      <c r="N479" s="193"/>
      <c r="O479" s="197"/>
      <c r="P479" s="197"/>
      <c r="Q479" s="193"/>
      <c r="R479" s="193"/>
      <c r="S479" s="193"/>
      <c r="T479" s="193"/>
    </row>
    <row r="480" s="20" customFormat="1" ht="14.4" spans="1:20">
      <c r="A480" s="194" t="s">
        <v>585</v>
      </c>
      <c r="B480" s="193" t="s">
        <v>585</v>
      </c>
      <c r="C480" s="193">
        <v>970610</v>
      </c>
      <c r="D480" s="193" t="s">
        <v>170</v>
      </c>
      <c r="E480" s="193" t="s">
        <v>131</v>
      </c>
      <c r="F480" s="193"/>
      <c r="G480" s="193" t="s">
        <v>171</v>
      </c>
      <c r="H480" s="193" t="s">
        <v>172</v>
      </c>
      <c r="I480" s="193"/>
      <c r="J480" s="193"/>
      <c r="K480" s="193"/>
      <c r="L480" s="193"/>
      <c r="M480" s="193"/>
      <c r="N480" s="193"/>
      <c r="O480" s="197"/>
      <c r="P480" s="197"/>
      <c r="Q480" s="193"/>
      <c r="R480" s="193"/>
      <c r="S480" s="193"/>
      <c r="T480" s="193"/>
    </row>
    <row r="481" s="20" customFormat="1" ht="14.4" spans="1:20">
      <c r="A481" s="194" t="s">
        <v>585</v>
      </c>
      <c r="B481" s="193" t="s">
        <v>585</v>
      </c>
      <c r="C481" s="193">
        <v>970620</v>
      </c>
      <c r="D481" s="193" t="s">
        <v>570</v>
      </c>
      <c r="E481" s="193" t="s">
        <v>131</v>
      </c>
      <c r="F481" s="193"/>
      <c r="G481" s="193" t="str">
        <f>'Check list'!G28&amp;"-RW"</f>
        <v>IP3000@EF041A-137-RW</v>
      </c>
      <c r="H481" s="193" t="s">
        <v>175</v>
      </c>
      <c r="I481" s="193"/>
      <c r="J481" s="193" t="str">
        <f>'Check list'!$D$5&amp;"_137"</f>
        <v>EF041A_137</v>
      </c>
      <c r="K481" s="193"/>
      <c r="L481" s="193"/>
      <c r="M481" s="193"/>
      <c r="N481" s="193"/>
      <c r="O481" s="197"/>
      <c r="P481" s="197"/>
      <c r="Q481" s="193"/>
      <c r="R481" s="193"/>
      <c r="S481" s="193"/>
      <c r="T481" s="193"/>
    </row>
    <row r="482" s="20" customFormat="1" ht="14.4" spans="1:20">
      <c r="A482" s="194" t="s">
        <v>585</v>
      </c>
      <c r="B482" s="193" t="s">
        <v>585</v>
      </c>
      <c r="C482" s="193">
        <v>970630</v>
      </c>
      <c r="D482" s="193" t="s">
        <v>572</v>
      </c>
      <c r="E482" s="193" t="s">
        <v>131</v>
      </c>
      <c r="F482" s="193"/>
      <c r="G482" s="193" t="str">
        <f>'Check list'!$D$5&amp;"/"&amp;'Check list'!$D$5&amp;"_T5_PH_B"</f>
        <v>EF041A/EF041A_T5_PH_B</v>
      </c>
      <c r="H482" s="193" t="s">
        <v>178</v>
      </c>
      <c r="I482" s="193"/>
      <c r="J482" s="193"/>
      <c r="K482" s="193"/>
      <c r="L482" s="193"/>
      <c r="M482" s="193"/>
      <c r="N482" s="193"/>
      <c r="O482" s="197"/>
      <c r="P482" s="197"/>
      <c r="Q482" s="193"/>
      <c r="R482" s="193"/>
      <c r="S482" s="193"/>
      <c r="T482" s="193"/>
    </row>
    <row r="483" s="20" customFormat="1" ht="14.4" spans="1:20">
      <c r="A483" s="194" t="s">
        <v>585</v>
      </c>
      <c r="B483" s="193" t="s">
        <v>585</v>
      </c>
      <c r="C483" s="193">
        <v>970640</v>
      </c>
      <c r="D483" s="193" t="s">
        <v>248</v>
      </c>
      <c r="E483" s="193" t="s">
        <v>131</v>
      </c>
      <c r="F483" s="193"/>
      <c r="G483" s="193" t="str">
        <f>"OVL"&amp;'Check list'!$D$5&amp;"-39"</f>
        <v>OVLEF041A-39</v>
      </c>
      <c r="H483" s="193" t="s">
        <v>249</v>
      </c>
      <c r="I483" s="193"/>
      <c r="J483" s="193"/>
      <c r="K483" s="193"/>
      <c r="L483" s="193"/>
      <c r="M483" s="193"/>
      <c r="N483" s="193"/>
      <c r="O483" s="197"/>
      <c r="P483" s="197"/>
      <c r="Q483" s="193"/>
      <c r="R483" s="193"/>
      <c r="S483" s="193"/>
      <c r="T483" s="193"/>
    </row>
    <row r="484" s="20" customFormat="1" ht="14.4" spans="1:20">
      <c r="A484" s="194" t="s">
        <v>585</v>
      </c>
      <c r="B484" s="193" t="s">
        <v>585</v>
      </c>
      <c r="C484" s="193">
        <v>970650</v>
      </c>
      <c r="D484" s="193" t="s">
        <v>185</v>
      </c>
      <c r="E484" s="193"/>
      <c r="F484" s="193"/>
      <c r="G484" s="193" t="s">
        <v>132</v>
      </c>
      <c r="H484" s="193" t="s">
        <v>186</v>
      </c>
      <c r="I484" s="193"/>
      <c r="J484" s="193"/>
      <c r="K484" s="193"/>
      <c r="L484" s="193"/>
      <c r="M484" s="193"/>
      <c r="N484" s="193"/>
      <c r="O484" s="197"/>
      <c r="P484" s="197"/>
      <c r="Q484" s="193"/>
      <c r="R484" s="193"/>
      <c r="S484" s="193"/>
      <c r="T484" s="193"/>
    </row>
    <row r="485" s="20" customFormat="1" ht="14.4" spans="1:20">
      <c r="A485" s="194" t="s">
        <v>585</v>
      </c>
      <c r="B485" s="193" t="s">
        <v>585</v>
      </c>
      <c r="C485" s="193">
        <v>970660</v>
      </c>
      <c r="D485" s="193" t="s">
        <v>948</v>
      </c>
      <c r="E485" s="193"/>
      <c r="F485" s="193"/>
      <c r="G485" s="193" t="s">
        <v>942</v>
      </c>
      <c r="H485" s="193" t="s">
        <v>414</v>
      </c>
      <c r="I485" s="193"/>
      <c r="J485" s="193"/>
      <c r="K485" s="193"/>
      <c r="L485" s="193"/>
      <c r="M485" s="193"/>
      <c r="N485" s="193"/>
      <c r="O485" s="197"/>
      <c r="P485" s="197"/>
      <c r="Q485" s="193"/>
      <c r="R485" s="193"/>
      <c r="S485" s="193"/>
      <c r="T485" s="193"/>
    </row>
    <row r="486" s="20" customFormat="1" ht="14.4" spans="1:20">
      <c r="A486" s="194" t="s">
        <v>607</v>
      </c>
      <c r="B486" s="193" t="s">
        <v>607</v>
      </c>
      <c r="C486" s="193">
        <v>970710</v>
      </c>
      <c r="D486" s="193" t="s">
        <v>170</v>
      </c>
      <c r="E486" s="193" t="s">
        <v>131</v>
      </c>
      <c r="F486" s="193"/>
      <c r="G486" s="193" t="s">
        <v>171</v>
      </c>
      <c r="H486" s="193" t="s">
        <v>172</v>
      </c>
      <c r="I486" s="193"/>
      <c r="J486" s="193"/>
      <c r="K486" s="193"/>
      <c r="L486" s="193"/>
      <c r="M486" s="193"/>
      <c r="N486" s="193"/>
      <c r="O486" s="197"/>
      <c r="P486" s="197"/>
      <c r="Q486" s="193"/>
      <c r="R486" s="193"/>
      <c r="S486" s="193"/>
      <c r="T486" s="193"/>
    </row>
    <row r="487" s="20" customFormat="1" ht="14.4" spans="1:20">
      <c r="A487" s="194" t="s">
        <v>607</v>
      </c>
      <c r="B487" s="193" t="s">
        <v>607</v>
      </c>
      <c r="C487" s="193">
        <v>970720</v>
      </c>
      <c r="D487" s="193" t="s">
        <v>591</v>
      </c>
      <c r="E487" s="193" t="s">
        <v>131</v>
      </c>
      <c r="F487" s="193"/>
      <c r="G487" s="193" t="str">
        <f>'Check list'!G29&amp;"-RW"</f>
        <v>IP3000@EF041A-138-RW</v>
      </c>
      <c r="H487" s="193" t="s">
        <v>175</v>
      </c>
      <c r="I487" s="193"/>
      <c r="J487" s="193" t="str">
        <f>'Check list'!$D$5&amp;"_138"</f>
        <v>EF041A_138</v>
      </c>
      <c r="K487" s="193"/>
      <c r="L487" s="193"/>
      <c r="M487" s="193"/>
      <c r="N487" s="193"/>
      <c r="O487" s="197"/>
      <c r="P487" s="197"/>
      <c r="Q487" s="193"/>
      <c r="R487" s="193"/>
      <c r="S487" s="193"/>
      <c r="T487" s="193"/>
    </row>
    <row r="488" s="20" customFormat="1" ht="14.4" spans="1:20">
      <c r="A488" s="194" t="s">
        <v>607</v>
      </c>
      <c r="B488" s="193" t="s">
        <v>607</v>
      </c>
      <c r="C488" s="193">
        <v>970730</v>
      </c>
      <c r="D488" s="193" t="s">
        <v>593</v>
      </c>
      <c r="E488" s="193" t="s">
        <v>131</v>
      </c>
      <c r="F488" s="193"/>
      <c r="G488" s="193" t="str">
        <f>'Check list'!$D$5&amp;"/"&amp;'Check list'!$D$5&amp;"_T6_PH_B"</f>
        <v>EF041A/EF041A_T6_PH_B</v>
      </c>
      <c r="H488" s="193" t="s">
        <v>178</v>
      </c>
      <c r="I488" s="193"/>
      <c r="J488" s="193"/>
      <c r="K488" s="193"/>
      <c r="L488" s="193"/>
      <c r="M488" s="193"/>
      <c r="N488" s="193"/>
      <c r="O488" s="197"/>
      <c r="P488" s="197"/>
      <c r="Q488" s="193"/>
      <c r="R488" s="193"/>
      <c r="S488" s="193"/>
      <c r="T488" s="193"/>
    </row>
    <row r="489" s="20" customFormat="1" ht="14.4" spans="1:20">
      <c r="A489" s="194" t="s">
        <v>607</v>
      </c>
      <c r="B489" s="193" t="s">
        <v>607</v>
      </c>
      <c r="C489" s="193">
        <v>970740</v>
      </c>
      <c r="D489" s="193" t="s">
        <v>248</v>
      </c>
      <c r="E489" s="193" t="s">
        <v>131</v>
      </c>
      <c r="F489" s="193"/>
      <c r="G489" s="193" t="str">
        <f>"OVL"&amp;'Check list'!$D$5&amp;"-139"</f>
        <v>OVLEF041A-139</v>
      </c>
      <c r="H489" s="193" t="s">
        <v>249</v>
      </c>
      <c r="I489" s="193"/>
      <c r="J489" s="193"/>
      <c r="K489" s="193"/>
      <c r="L489" s="193"/>
      <c r="M489" s="193"/>
      <c r="N489" s="193"/>
      <c r="O489" s="197"/>
      <c r="P489" s="197"/>
      <c r="Q489" s="193"/>
      <c r="R489" s="193"/>
      <c r="S489" s="193"/>
      <c r="T489" s="193"/>
    </row>
    <row r="490" s="20" customFormat="1" ht="14.4" spans="1:20">
      <c r="A490" s="194" t="s">
        <v>607</v>
      </c>
      <c r="B490" s="193" t="s">
        <v>607</v>
      </c>
      <c r="C490" s="193">
        <v>970750</v>
      </c>
      <c r="D490" s="193" t="s">
        <v>185</v>
      </c>
      <c r="E490" s="193"/>
      <c r="F490" s="193"/>
      <c r="G490" s="193" t="s">
        <v>132</v>
      </c>
      <c r="H490" s="193" t="s">
        <v>186</v>
      </c>
      <c r="I490" s="193"/>
      <c r="J490" s="193"/>
      <c r="K490" s="193"/>
      <c r="L490" s="193"/>
      <c r="M490" s="193"/>
      <c r="N490" s="193"/>
      <c r="O490" s="197"/>
      <c r="P490" s="197"/>
      <c r="Q490" s="193"/>
      <c r="R490" s="193"/>
      <c r="S490" s="193"/>
      <c r="T490" s="193"/>
    </row>
    <row r="491" s="20" customFormat="1" ht="14.4" spans="1:20">
      <c r="A491" s="194" t="s">
        <v>607</v>
      </c>
      <c r="B491" s="193" t="s">
        <v>607</v>
      </c>
      <c r="C491" s="193">
        <v>970760</v>
      </c>
      <c r="D491" s="193" t="s">
        <v>949</v>
      </c>
      <c r="E491" s="193"/>
      <c r="F491" s="193"/>
      <c r="G491" s="193" t="s">
        <v>942</v>
      </c>
      <c r="H491" s="193" t="s">
        <v>414</v>
      </c>
      <c r="I491" s="193"/>
      <c r="J491" s="193"/>
      <c r="K491" s="193"/>
      <c r="L491" s="193"/>
      <c r="M491" s="193"/>
      <c r="N491" s="193"/>
      <c r="O491" s="197"/>
      <c r="P491" s="197"/>
      <c r="Q491" s="193"/>
      <c r="R491" s="193"/>
      <c r="S491" s="193"/>
      <c r="T491" s="193"/>
    </row>
    <row r="492" s="20" customFormat="1" ht="14.4" spans="1:20">
      <c r="A492" s="194" t="s">
        <v>628</v>
      </c>
      <c r="B492" s="193" t="s">
        <v>628</v>
      </c>
      <c r="C492" s="193">
        <v>970810</v>
      </c>
      <c r="D492" s="193" t="s">
        <v>170</v>
      </c>
      <c r="E492" s="193" t="s">
        <v>131</v>
      </c>
      <c r="F492" s="193"/>
      <c r="G492" s="193" t="s">
        <v>171</v>
      </c>
      <c r="H492" s="193" t="s">
        <v>172</v>
      </c>
      <c r="I492" s="193"/>
      <c r="J492" s="193"/>
      <c r="K492" s="193"/>
      <c r="L492" s="193"/>
      <c r="M492" s="193"/>
      <c r="N492" s="193"/>
      <c r="O492" s="197"/>
      <c r="P492" s="197"/>
      <c r="Q492" s="193"/>
      <c r="R492" s="193"/>
      <c r="S492" s="193"/>
      <c r="T492" s="193"/>
    </row>
    <row r="493" s="20" customFormat="1" ht="14.4" spans="1:20">
      <c r="A493" s="194" t="s">
        <v>628</v>
      </c>
      <c r="B493" s="193" t="s">
        <v>628</v>
      </c>
      <c r="C493" s="193">
        <v>970820</v>
      </c>
      <c r="D493" s="193" t="s">
        <v>612</v>
      </c>
      <c r="E493" s="193" t="s">
        <v>131</v>
      </c>
      <c r="F493" s="193"/>
      <c r="G493" s="193" t="str">
        <f>'Check list'!G30&amp;"-RW"</f>
        <v>IP3000@EF041A-139-RW</v>
      </c>
      <c r="H493" s="193" t="s">
        <v>175</v>
      </c>
      <c r="I493" s="193"/>
      <c r="J493" s="193" t="str">
        <f>'Check list'!$D$5&amp;"_139"</f>
        <v>EF041A_139</v>
      </c>
      <c r="K493" s="193"/>
      <c r="L493" s="193"/>
      <c r="M493" s="193"/>
      <c r="N493" s="193"/>
      <c r="O493" s="197"/>
      <c r="P493" s="197"/>
      <c r="Q493" s="193"/>
      <c r="R493" s="193"/>
      <c r="S493" s="193"/>
      <c r="T493" s="193"/>
    </row>
    <row r="494" s="20" customFormat="1" ht="14.4" spans="1:20">
      <c r="A494" s="194" t="s">
        <v>628</v>
      </c>
      <c r="B494" s="193" t="s">
        <v>628</v>
      </c>
      <c r="C494" s="193">
        <v>970830</v>
      </c>
      <c r="D494" s="193" t="s">
        <v>614</v>
      </c>
      <c r="E494" s="193" t="s">
        <v>131</v>
      </c>
      <c r="F494" s="193"/>
      <c r="G494" s="193" t="str">
        <f>'Check list'!$D$5&amp;"/"&amp;'Check list'!$D$5&amp;"_T7_PH_B"</f>
        <v>EF041A/EF041A_T7_PH_B</v>
      </c>
      <c r="H494" s="193" t="s">
        <v>178</v>
      </c>
      <c r="I494" s="193"/>
      <c r="J494" s="193"/>
      <c r="K494" s="193"/>
      <c r="L494" s="193"/>
      <c r="M494" s="193"/>
      <c r="N494" s="193"/>
      <c r="O494" s="197"/>
      <c r="P494" s="197"/>
      <c r="Q494" s="193"/>
      <c r="R494" s="193"/>
      <c r="S494" s="193"/>
      <c r="T494" s="193"/>
    </row>
    <row r="495" s="20" customFormat="1" ht="14.4" spans="1:20">
      <c r="A495" s="194" t="s">
        <v>628</v>
      </c>
      <c r="B495" s="193" t="s">
        <v>628</v>
      </c>
      <c r="C495" s="193">
        <v>970840</v>
      </c>
      <c r="D495" s="193" t="s">
        <v>248</v>
      </c>
      <c r="E495" s="193" t="s">
        <v>131</v>
      </c>
      <c r="F495" s="193"/>
      <c r="G495" s="193" t="str">
        <f>"OVL"&amp;'Check list'!$D$5&amp;"-139"</f>
        <v>OVLEF041A-139</v>
      </c>
      <c r="H495" s="193" t="s">
        <v>249</v>
      </c>
      <c r="I495" s="193"/>
      <c r="J495" s="193"/>
      <c r="K495" s="193"/>
      <c r="L495" s="193"/>
      <c r="M495" s="193"/>
      <c r="N495" s="193"/>
      <c r="O495" s="197"/>
      <c r="P495" s="197"/>
      <c r="Q495" s="193"/>
      <c r="R495" s="193"/>
      <c r="S495" s="193"/>
      <c r="T495" s="193"/>
    </row>
    <row r="496" s="20" customFormat="1" ht="14.4" spans="1:20">
      <c r="A496" s="194" t="s">
        <v>628</v>
      </c>
      <c r="B496" s="193" t="s">
        <v>628</v>
      </c>
      <c r="C496" s="193">
        <v>970850</v>
      </c>
      <c r="D496" s="193" t="s">
        <v>185</v>
      </c>
      <c r="E496" s="193"/>
      <c r="F496" s="193"/>
      <c r="G496" s="193" t="s">
        <v>132</v>
      </c>
      <c r="H496" s="193" t="s">
        <v>186</v>
      </c>
      <c r="I496" s="193"/>
      <c r="J496" s="193"/>
      <c r="K496" s="193"/>
      <c r="L496" s="193"/>
      <c r="M496" s="193"/>
      <c r="N496" s="193"/>
      <c r="O496" s="197"/>
      <c r="P496" s="197"/>
      <c r="Q496" s="193"/>
      <c r="R496" s="193"/>
      <c r="S496" s="193"/>
      <c r="T496" s="193"/>
    </row>
    <row r="497" s="20" customFormat="1" ht="14.4" spans="1:20">
      <c r="A497" s="194" t="s">
        <v>628</v>
      </c>
      <c r="B497" s="193" t="s">
        <v>628</v>
      </c>
      <c r="C497" s="193">
        <v>970860</v>
      </c>
      <c r="D497" s="193" t="s">
        <v>950</v>
      </c>
      <c r="E497" s="193"/>
      <c r="F497" s="193"/>
      <c r="G497" s="193" t="s">
        <v>942</v>
      </c>
      <c r="H497" s="193" t="s">
        <v>414</v>
      </c>
      <c r="I497" s="193"/>
      <c r="J497" s="193"/>
      <c r="K497" s="193"/>
      <c r="L497" s="193"/>
      <c r="M497" s="193"/>
      <c r="N497" s="193"/>
      <c r="O497" s="197"/>
      <c r="P497" s="197"/>
      <c r="Q497" s="193"/>
      <c r="R497" s="193"/>
      <c r="S497" s="193"/>
      <c r="T497" s="193"/>
    </row>
    <row r="498" s="20" customFormat="1" ht="14.4" spans="1:20">
      <c r="A498" s="194" t="s">
        <v>649</v>
      </c>
      <c r="B498" s="193" t="s">
        <v>649</v>
      </c>
      <c r="C498" s="193">
        <v>970910</v>
      </c>
      <c r="D498" s="193" t="s">
        <v>170</v>
      </c>
      <c r="E498" s="193" t="s">
        <v>131</v>
      </c>
      <c r="F498" s="193"/>
      <c r="G498" s="193" t="s">
        <v>171</v>
      </c>
      <c r="H498" s="193" t="s">
        <v>172</v>
      </c>
      <c r="I498" s="193"/>
      <c r="J498" s="193"/>
      <c r="K498" s="193"/>
      <c r="L498" s="193"/>
      <c r="M498" s="193"/>
      <c r="N498" s="193"/>
      <c r="O498" s="197"/>
      <c r="P498" s="197"/>
      <c r="Q498" s="193"/>
      <c r="R498" s="193"/>
      <c r="S498" s="193"/>
      <c r="T498" s="193"/>
    </row>
    <row r="499" s="20" customFormat="1" ht="14.4" spans="1:20">
      <c r="A499" s="194" t="s">
        <v>649</v>
      </c>
      <c r="B499" s="193" t="s">
        <v>649</v>
      </c>
      <c r="C499" s="193">
        <v>970920</v>
      </c>
      <c r="D499" s="193" t="s">
        <v>633</v>
      </c>
      <c r="E499" s="193" t="s">
        <v>131</v>
      </c>
      <c r="F499" s="193"/>
      <c r="G499" s="193" t="str">
        <f>'Check list'!G31&amp;"-RW"</f>
        <v>IP3000@EF041A-150-RW</v>
      </c>
      <c r="H499" s="193" t="s">
        <v>175</v>
      </c>
      <c r="I499" s="193"/>
      <c r="J499" s="193" t="str">
        <f>'Check list'!$D$5&amp;"_140"</f>
        <v>EF041A_140</v>
      </c>
      <c r="K499" s="193"/>
      <c r="L499" s="193"/>
      <c r="M499" s="193"/>
      <c r="N499" s="193"/>
      <c r="O499" s="197"/>
      <c r="P499" s="197"/>
      <c r="Q499" s="193"/>
      <c r="R499" s="193"/>
      <c r="S499" s="193"/>
      <c r="T499" s="193"/>
    </row>
    <row r="500" s="20" customFormat="1" ht="14.4" spans="1:20">
      <c r="A500" s="194" t="s">
        <v>649</v>
      </c>
      <c r="B500" s="193" t="s">
        <v>649</v>
      </c>
      <c r="C500" s="193">
        <v>970930</v>
      </c>
      <c r="D500" s="193" t="s">
        <v>635</v>
      </c>
      <c r="E500" s="193" t="s">
        <v>131</v>
      </c>
      <c r="F500" s="193"/>
      <c r="G500" s="193" t="str">
        <f>'Check list'!$D$5&amp;"/"&amp;'Check list'!$D$5&amp;"_T8_PH_B"</f>
        <v>EF041A/EF041A_T8_PH_B</v>
      </c>
      <c r="H500" s="193" t="s">
        <v>178</v>
      </c>
      <c r="I500" s="193"/>
      <c r="J500" s="193"/>
      <c r="K500" s="193"/>
      <c r="L500" s="193"/>
      <c r="M500" s="193"/>
      <c r="N500" s="193"/>
      <c r="O500" s="197"/>
      <c r="P500" s="197"/>
      <c r="Q500" s="193"/>
      <c r="R500" s="193"/>
      <c r="S500" s="193"/>
      <c r="T500" s="193"/>
    </row>
    <row r="501" s="20" customFormat="1" ht="14.4" spans="1:20">
      <c r="A501" s="194" t="s">
        <v>649</v>
      </c>
      <c r="B501" s="193" t="s">
        <v>649</v>
      </c>
      <c r="C501" s="193">
        <v>970940</v>
      </c>
      <c r="D501" s="193" t="s">
        <v>248</v>
      </c>
      <c r="E501" s="193" t="s">
        <v>131</v>
      </c>
      <c r="F501" s="193"/>
      <c r="G501" s="193" t="str">
        <f>"OVL"&amp;'Check list'!$D$5&amp;"-139"</f>
        <v>OVLEF041A-139</v>
      </c>
      <c r="H501" s="193" t="s">
        <v>249</v>
      </c>
      <c r="I501" s="193"/>
      <c r="J501" s="193"/>
      <c r="K501" s="193"/>
      <c r="L501" s="193"/>
      <c r="M501" s="193"/>
      <c r="N501" s="193"/>
      <c r="O501" s="197"/>
      <c r="P501" s="197"/>
      <c r="Q501" s="193"/>
      <c r="R501" s="193"/>
      <c r="S501" s="193"/>
      <c r="T501" s="193"/>
    </row>
    <row r="502" s="20" customFormat="1" ht="14.4" spans="1:20">
      <c r="A502" s="194" t="s">
        <v>649</v>
      </c>
      <c r="B502" s="193" t="s">
        <v>649</v>
      </c>
      <c r="C502" s="193">
        <v>970950</v>
      </c>
      <c r="D502" s="193" t="s">
        <v>185</v>
      </c>
      <c r="E502" s="193"/>
      <c r="F502" s="193"/>
      <c r="G502" s="193" t="s">
        <v>132</v>
      </c>
      <c r="H502" s="193" t="s">
        <v>186</v>
      </c>
      <c r="I502" s="193"/>
      <c r="J502" s="193"/>
      <c r="K502" s="193"/>
      <c r="L502" s="193"/>
      <c r="M502" s="193"/>
      <c r="N502" s="193"/>
      <c r="O502" s="197"/>
      <c r="P502" s="197"/>
      <c r="Q502" s="193"/>
      <c r="R502" s="193"/>
      <c r="S502" s="193"/>
      <c r="T502" s="193"/>
    </row>
    <row r="503" s="20" customFormat="1" ht="14.4" spans="1:20">
      <c r="A503" s="198" t="s">
        <v>649</v>
      </c>
      <c r="B503" s="199" t="s">
        <v>649</v>
      </c>
      <c r="C503" s="199">
        <v>970960</v>
      </c>
      <c r="D503" s="193" t="s">
        <v>951</v>
      </c>
      <c r="E503" s="193"/>
      <c r="F503" s="193"/>
      <c r="G503" s="193" t="s">
        <v>942</v>
      </c>
      <c r="H503" s="193" t="s">
        <v>414</v>
      </c>
      <c r="I503" s="193"/>
      <c r="J503" s="193"/>
      <c r="K503" s="193"/>
      <c r="L503" s="193"/>
      <c r="M503" s="193"/>
      <c r="N503" s="193"/>
      <c r="O503" s="197"/>
      <c r="P503" s="197"/>
      <c r="Q503" s="193"/>
      <c r="R503" s="193"/>
      <c r="S503" s="193"/>
      <c r="T503" s="193"/>
    </row>
    <row r="504" s="20" customFormat="1" ht="14.4" spans="1:20">
      <c r="A504" s="2" t="s">
        <v>890</v>
      </c>
      <c r="B504" s="193" t="s">
        <v>890</v>
      </c>
      <c r="C504" s="193">
        <v>980010</v>
      </c>
      <c r="D504" s="193" t="s">
        <v>952</v>
      </c>
      <c r="E504" s="193" t="str">
        <f>"Frequency "&amp;'Check list'!D43&amp;" target "&amp;'Check list'!G43&amp;"MHz "&amp;"(A:"&amp;'Check list'!I43&amp;",B:"&amp;'Check list'!J43&amp;")"</f>
        <v>Frequency Center target 1842.5MHz (A:0.6,B:0.5)</v>
      </c>
      <c r="F504" s="193"/>
      <c r="G504" s="193" t="s">
        <v>132</v>
      </c>
      <c r="H504" s="193" t="s">
        <v>132</v>
      </c>
      <c r="I504" s="193"/>
      <c r="J504" s="193"/>
      <c r="K504" s="193"/>
      <c r="L504" s="193"/>
      <c r="M504" s="193"/>
      <c r="N504" s="193"/>
      <c r="O504" s="197"/>
      <c r="P504" s="197"/>
      <c r="Q504" s="193"/>
      <c r="R504" s="193"/>
      <c r="S504" s="193"/>
      <c r="T504" s="193"/>
    </row>
    <row r="505" ht="14.4" spans="1:20">
      <c r="A505" s="2" t="s">
        <v>890</v>
      </c>
      <c r="B505" s="193" t="s">
        <v>890</v>
      </c>
      <c r="C505" s="193">
        <v>980020</v>
      </c>
      <c r="D505" s="193" t="s">
        <v>953</v>
      </c>
      <c r="E505" s="193"/>
      <c r="F505" s="193"/>
      <c r="G505" s="193" t="s">
        <v>132</v>
      </c>
      <c r="H505" s="193" t="s">
        <v>132</v>
      </c>
      <c r="I505" s="193"/>
      <c r="J505" s="193"/>
      <c r="K505" s="193"/>
      <c r="L505" s="193"/>
      <c r="M505" s="193"/>
      <c r="N505" s="193"/>
      <c r="O505" s="197"/>
      <c r="P505" s="197"/>
      <c r="Q505" s="193"/>
      <c r="R505" s="193"/>
      <c r="S505" s="193"/>
      <c r="T505" s="193"/>
    </row>
    <row r="506" ht="14.4" spans="1:20">
      <c r="A506" s="2" t="s">
        <v>890</v>
      </c>
      <c r="B506" s="193" t="s">
        <v>890</v>
      </c>
      <c r="C506" s="193">
        <v>980030</v>
      </c>
      <c r="D506" s="193" t="s">
        <v>954</v>
      </c>
      <c r="E506" s="193"/>
      <c r="F506" s="193"/>
      <c r="G506" s="193" t="s">
        <v>955</v>
      </c>
      <c r="H506" s="193" t="s">
        <v>414</v>
      </c>
      <c r="I506" s="193"/>
      <c r="J506" s="193"/>
      <c r="K506" s="193"/>
      <c r="L506" s="193"/>
      <c r="M506" s="193"/>
      <c r="N506" s="193"/>
      <c r="O506" s="197"/>
      <c r="P506" s="197"/>
      <c r="Q506" s="193"/>
      <c r="R506" s="193"/>
      <c r="S506" s="193"/>
      <c r="T506" s="193"/>
    </row>
    <row r="507" ht="14.4" spans="1:20">
      <c r="A507" s="2" t="s">
        <v>890</v>
      </c>
      <c r="B507" s="193" t="s">
        <v>890</v>
      </c>
      <c r="C507" s="193">
        <v>980040</v>
      </c>
      <c r="D507" s="193" t="s">
        <v>956</v>
      </c>
      <c r="E507" s="193" t="s">
        <v>957</v>
      </c>
      <c r="F507" s="193"/>
      <c r="G507" s="193" t="s">
        <v>132</v>
      </c>
      <c r="H507" s="193" t="s">
        <v>846</v>
      </c>
      <c r="I507" s="193"/>
      <c r="J507" s="193"/>
      <c r="K507" s="193"/>
      <c r="L507" s="193"/>
      <c r="M507" s="193"/>
      <c r="N507" s="193"/>
      <c r="O507" s="197"/>
      <c r="P507" s="197"/>
      <c r="Q507" s="193"/>
      <c r="R507" s="193"/>
      <c r="S507" s="193"/>
      <c r="T507" s="193"/>
    </row>
  </sheetData>
  <sheetProtection password="9090" sheet="1" autoFilter="0" objects="1"/>
  <autoFilter ref="A5:T507">
    <extLst/>
  </autoFilter>
  <mergeCells count="3">
    <mergeCell ref="J3:L3"/>
    <mergeCell ref="A1:E2"/>
    <mergeCell ref="A373:E374"/>
  </mergeCells>
  <conditionalFormatting sqref="A345:T345">
    <cfRule type="expression" dxfId="1" priority="1">
      <formula>'Check list'!$C$40="No"</formula>
    </cfRule>
  </conditionalFormatting>
  <conditionalFormatting sqref="G353:H353">
    <cfRule type="expression" dxfId="1" priority="21">
      <formula>'Check list'!$H$43=0</formula>
    </cfRule>
    <cfRule type="expression" dxfId="1" priority="22">
      <formula>'Check list'!$G$43=0</formula>
    </cfRule>
    <cfRule type="expression" dxfId="1" priority="23">
      <formula>'Check list'!$F$43=0</formula>
    </cfRule>
  </conditionalFormatting>
  <conditionalFormatting sqref="G357:H357">
    <cfRule type="expression" dxfId="1" priority="24">
      <formula>'Check list'!$H$43=0</formula>
    </cfRule>
    <cfRule type="expression" dxfId="1" priority="25">
      <formula>'Check list'!$G$43=0</formula>
    </cfRule>
  </conditionalFormatting>
  <conditionalFormatting sqref="G361:H361">
    <cfRule type="expression" dxfId="1" priority="26">
      <formula>'Check list'!$H$43=0</formula>
    </cfRule>
  </conditionalFormatting>
  <conditionalFormatting sqref="A387:T387">
    <cfRule type="expression" dxfId="1" priority="2">
      <formula>'Check list'!$C$21="Trim"</formula>
    </cfRule>
    <cfRule type="expression" dxfId="1" priority="27">
      <formula>'Check list'!$C$21="No"</formula>
    </cfRule>
  </conditionalFormatting>
  <conditionalFormatting sqref="A389:T389">
    <cfRule type="expression" dxfId="1" priority="28">
      <formula>'Check list'!$C$34="No"</formula>
    </cfRule>
  </conditionalFormatting>
  <conditionalFormatting sqref="B400">
    <cfRule type="expression" dxfId="1" priority="217">
      <formula>'Check list'!$C$40="No"</formula>
    </cfRule>
  </conditionalFormatting>
  <conditionalFormatting sqref="D400:H400">
    <cfRule type="expression" dxfId="1" priority="219">
      <formula>'Check list'!$C$40="No"</formula>
    </cfRule>
  </conditionalFormatting>
  <conditionalFormatting sqref="B401">
    <cfRule type="expression" dxfId="1" priority="216">
      <formula>'Check list'!$C$40="No"</formula>
    </cfRule>
  </conditionalFormatting>
  <conditionalFormatting sqref="B402">
    <cfRule type="expression" dxfId="1" priority="215">
      <formula>'Check list'!$C$40="No"</formula>
    </cfRule>
  </conditionalFormatting>
  <conditionalFormatting sqref="B403">
    <cfRule type="expression" dxfId="1" priority="214">
      <formula>'Check list'!$C$40="No"</formula>
    </cfRule>
  </conditionalFormatting>
  <conditionalFormatting sqref="B404">
    <cfRule type="expression" dxfId="1" priority="213">
      <formula>'Check list'!$C$40="No"</formula>
    </cfRule>
  </conditionalFormatting>
  <conditionalFormatting sqref="B405">
    <cfRule type="expression" dxfId="1" priority="212">
      <formula>'Check list'!$C$40="No"</formula>
    </cfRule>
  </conditionalFormatting>
  <conditionalFormatting sqref="B406">
    <cfRule type="expression" dxfId="1" priority="211">
      <formula>'Check list'!$C$40="No"</formula>
    </cfRule>
  </conditionalFormatting>
  <conditionalFormatting sqref="C407">
    <cfRule type="expression" dxfId="1" priority="210">
      <formula>'Check list'!$C$40="No"</formula>
    </cfRule>
  </conditionalFormatting>
  <conditionalFormatting sqref="B414">
    <cfRule type="expression" dxfId="1" priority="202">
      <formula>'Check list'!$C$40="No"</formula>
    </cfRule>
  </conditionalFormatting>
  <conditionalFormatting sqref="C414">
    <cfRule type="expression" dxfId="1" priority="192">
      <formula>'Check list'!$C$40="No"</formula>
    </cfRule>
  </conditionalFormatting>
  <conditionalFormatting sqref="B415">
    <cfRule type="expression" dxfId="1" priority="199">
      <formula>'Check list'!$C$40="No"</formula>
    </cfRule>
  </conditionalFormatting>
  <conditionalFormatting sqref="B416">
    <cfRule type="expression" dxfId="1" priority="198">
      <formula>'Check list'!$C$40="No"</formula>
    </cfRule>
  </conditionalFormatting>
  <conditionalFormatting sqref="B417">
    <cfRule type="expression" dxfId="1" priority="197">
      <formula>'Check list'!$C$40="No"</formula>
    </cfRule>
  </conditionalFormatting>
  <conditionalFormatting sqref="B418">
    <cfRule type="expression" dxfId="1" priority="196">
      <formula>'Check list'!$C$40="No"</formula>
    </cfRule>
  </conditionalFormatting>
  <conditionalFormatting sqref="B419">
    <cfRule type="expression" dxfId="1" priority="195">
      <formula>'Check list'!$C$40="No"</formula>
    </cfRule>
  </conditionalFormatting>
  <conditionalFormatting sqref="B420">
    <cfRule type="expression" dxfId="1" priority="190">
      <formula>'Check list'!$C$40="No"</formula>
    </cfRule>
  </conditionalFormatting>
  <conditionalFormatting sqref="C420">
    <cfRule type="expression" dxfId="1" priority="172">
      <formula>'Check list'!$C$40="No"</formula>
    </cfRule>
  </conditionalFormatting>
  <conditionalFormatting sqref="B421">
    <cfRule type="expression" dxfId="1" priority="189">
      <formula>'Check list'!$C$40="No"</formula>
    </cfRule>
  </conditionalFormatting>
  <conditionalFormatting sqref="B422">
    <cfRule type="expression" dxfId="1" priority="188">
      <formula>'Check list'!$C$40="No"</formula>
    </cfRule>
  </conditionalFormatting>
  <conditionalFormatting sqref="B423">
    <cfRule type="expression" dxfId="1" priority="187">
      <formula>'Check list'!$C$40="No"</formula>
    </cfRule>
  </conditionalFormatting>
  <conditionalFormatting sqref="B424">
    <cfRule type="expression" dxfId="1" priority="186">
      <formula>'Check list'!$C$40="No"</formula>
    </cfRule>
  </conditionalFormatting>
  <conditionalFormatting sqref="B425">
    <cfRule type="expression" dxfId="1" priority="185">
      <formula>'Check list'!$C$40="No"</formula>
    </cfRule>
  </conditionalFormatting>
  <conditionalFormatting sqref="B426">
    <cfRule type="expression" dxfId="1" priority="184">
      <formula>'Check list'!$C$40="No"</formula>
    </cfRule>
  </conditionalFormatting>
  <conditionalFormatting sqref="C426">
    <cfRule type="expression" dxfId="1" priority="169">
      <formula>'Check list'!$C$40="No"</formula>
    </cfRule>
  </conditionalFormatting>
  <conditionalFormatting sqref="B427">
    <cfRule type="expression" dxfId="1" priority="181">
      <formula>'Check list'!$C$40="No"</formula>
    </cfRule>
  </conditionalFormatting>
  <conditionalFormatting sqref="B428">
    <cfRule type="expression" dxfId="1" priority="180">
      <formula>'Check list'!$C$40="No"</formula>
    </cfRule>
  </conditionalFormatting>
  <conditionalFormatting sqref="B429">
    <cfRule type="expression" dxfId="1" priority="179">
      <formula>'Check list'!$C$40="No"</formula>
    </cfRule>
  </conditionalFormatting>
  <conditionalFormatting sqref="B430">
    <cfRule type="expression" dxfId="1" priority="178">
      <formula>'Check list'!$C$40="No"</formula>
    </cfRule>
  </conditionalFormatting>
  <conditionalFormatting sqref="B431">
    <cfRule type="expression" dxfId="1" priority="32">
      <formula>'Check list'!$C$40="No"</formula>
    </cfRule>
  </conditionalFormatting>
  <conditionalFormatting sqref="B432">
    <cfRule type="expression" dxfId="1" priority="167">
      <formula>'Check list'!$C$40="No"</formula>
    </cfRule>
  </conditionalFormatting>
  <conditionalFormatting sqref="C432">
    <cfRule type="expression" dxfId="1" priority="155">
      <formula>'Check list'!$C$40="No"</formula>
    </cfRule>
  </conditionalFormatting>
  <conditionalFormatting sqref="B433">
    <cfRule type="expression" dxfId="1" priority="166">
      <formula>'Check list'!$C$40="No"</formula>
    </cfRule>
  </conditionalFormatting>
  <conditionalFormatting sqref="B434">
    <cfRule type="expression" dxfId="1" priority="165">
      <formula>'Check list'!$C$40="No"</formula>
    </cfRule>
  </conditionalFormatting>
  <conditionalFormatting sqref="B435">
    <cfRule type="expression" dxfId="1" priority="164">
      <formula>'Check list'!$C$40="No"</formula>
    </cfRule>
  </conditionalFormatting>
  <conditionalFormatting sqref="B436">
    <cfRule type="expression" dxfId="1" priority="163">
      <formula>'Check list'!$C$40="No"</formula>
    </cfRule>
  </conditionalFormatting>
  <conditionalFormatting sqref="B437">
    <cfRule type="expression" dxfId="1" priority="162">
      <formula>'Check list'!$C$40="No"</formula>
    </cfRule>
  </conditionalFormatting>
  <conditionalFormatting sqref="B438">
    <cfRule type="expression" dxfId="1" priority="153">
      <formula>'Check list'!$C$40="No"</formula>
    </cfRule>
  </conditionalFormatting>
  <conditionalFormatting sqref="C438">
    <cfRule type="expression" dxfId="1" priority="145">
      <formula>'Check list'!$C$40="No"</formula>
    </cfRule>
  </conditionalFormatting>
  <conditionalFormatting sqref="B439">
    <cfRule type="expression" dxfId="1" priority="150">
      <formula>'Check list'!$C$40="No"</formula>
    </cfRule>
  </conditionalFormatting>
  <conditionalFormatting sqref="B440">
    <cfRule type="expression" dxfId="1" priority="149">
      <formula>'Check list'!$C$40="No"</formula>
    </cfRule>
  </conditionalFormatting>
  <conditionalFormatting sqref="B441">
    <cfRule type="expression" dxfId="1" priority="148">
      <formula>'Check list'!$C$40="No"</formula>
    </cfRule>
  </conditionalFormatting>
  <conditionalFormatting sqref="B442">
    <cfRule type="expression" dxfId="1" priority="147">
      <formula>'Check list'!$C$40="No"</formula>
    </cfRule>
  </conditionalFormatting>
  <conditionalFormatting sqref="B443">
    <cfRule type="expression" dxfId="1" priority="146">
      <formula>'Check list'!$C$40="No"</formula>
    </cfRule>
  </conditionalFormatting>
  <conditionalFormatting sqref="B445">
    <cfRule type="expression" dxfId="1" priority="143">
      <formula>'Check list'!$C$40="No"</formula>
    </cfRule>
  </conditionalFormatting>
  <conditionalFormatting sqref="B446">
    <cfRule type="expression" dxfId="1" priority="142">
      <formula>'Check list'!$C$40="No"</formula>
    </cfRule>
  </conditionalFormatting>
  <conditionalFormatting sqref="B447">
    <cfRule type="expression" dxfId="1" priority="141">
      <formula>'Check list'!$C$40="No"</formula>
    </cfRule>
  </conditionalFormatting>
  <conditionalFormatting sqref="B448">
    <cfRule type="expression" dxfId="1" priority="140">
      <formula>'Check list'!$C$40="No"</formula>
    </cfRule>
  </conditionalFormatting>
  <conditionalFormatting sqref="B449">
    <cfRule type="expression" dxfId="1" priority="139">
      <formula>'Check list'!$C$40="No"</formula>
    </cfRule>
  </conditionalFormatting>
  <conditionalFormatting sqref="B450">
    <cfRule type="expression" dxfId="1" priority="138">
      <formula>'Check list'!$C$40="No"</formula>
    </cfRule>
  </conditionalFormatting>
  <conditionalFormatting sqref="B451">
    <cfRule type="expression" dxfId="1" priority="137">
      <formula>'Check list'!$C$40="No"</formula>
    </cfRule>
  </conditionalFormatting>
  <conditionalFormatting sqref="B452">
    <cfRule type="expression" dxfId="1" priority="136">
      <formula>'Check list'!$C$40="No"</formula>
    </cfRule>
  </conditionalFormatting>
  <conditionalFormatting sqref="B453">
    <cfRule type="expression" dxfId="1" priority="135">
      <formula>'Check list'!$C$40="No"</formula>
    </cfRule>
  </conditionalFormatting>
  <conditionalFormatting sqref="B454">
    <cfRule type="expression" dxfId="1" priority="134">
      <formula>'Check list'!$C$40="No"</formula>
    </cfRule>
  </conditionalFormatting>
  <conditionalFormatting sqref="B455">
    <cfRule type="expression" dxfId="1" priority="133">
      <formula>'Check list'!$C$40="No"</formula>
    </cfRule>
  </conditionalFormatting>
  <conditionalFormatting sqref="C401:C406">
    <cfRule type="expression" dxfId="1" priority="218">
      <formula>'Check list'!$C$40="No"</formula>
    </cfRule>
  </conditionalFormatting>
  <conditionalFormatting sqref="C408:C413">
    <cfRule type="expression" dxfId="1" priority="209">
      <formula>'Check list'!$C$40="No"</formula>
    </cfRule>
  </conditionalFormatting>
  <conditionalFormatting sqref="C415:C419">
    <cfRule type="expression" dxfId="1" priority="191">
      <formula>'Check list'!$C$40="No"</formula>
    </cfRule>
  </conditionalFormatting>
  <conditionalFormatting sqref="C421:C425">
    <cfRule type="expression" dxfId="1" priority="171">
      <formula>'Check list'!$C$40="No"</formula>
    </cfRule>
  </conditionalFormatting>
  <conditionalFormatting sqref="C427:C431">
    <cfRule type="expression" dxfId="1" priority="168">
      <formula>'Check list'!$C$40="No"</formula>
    </cfRule>
  </conditionalFormatting>
  <conditionalFormatting sqref="C433:C437">
    <cfRule type="expression" dxfId="1" priority="154">
      <formula>'Check list'!$C$40="No"</formula>
    </cfRule>
  </conditionalFormatting>
  <conditionalFormatting sqref="C439:C443">
    <cfRule type="expression" dxfId="1" priority="144">
      <formula>'Check list'!$C$40="No"</formula>
    </cfRule>
  </conditionalFormatting>
  <conditionalFormatting sqref="C450:C455">
    <cfRule type="expression" dxfId="1" priority="132">
      <formula>'Check list'!$C$40="No"</formula>
    </cfRule>
  </conditionalFormatting>
  <conditionalFormatting sqref="A61:T62">
    <cfRule type="expression" dxfId="1" priority="253">
      <formula>'Check list'!$C$18="No"</formula>
    </cfRule>
  </conditionalFormatting>
  <conditionalFormatting sqref="A92:T111">
    <cfRule type="expression" dxfId="1" priority="224">
      <formula>'Check list'!$C$21="Trim"</formula>
    </cfRule>
    <cfRule type="expression" dxfId="1" priority="225">
      <formula>'Check list'!$C$21="No"</formula>
    </cfRule>
  </conditionalFormatting>
  <conditionalFormatting sqref="$A118:$XFD129">
    <cfRule type="expression" dxfId="1" priority="9">
      <formula>'Check list'!$C$20="No"</formula>
    </cfRule>
  </conditionalFormatting>
  <conditionalFormatting sqref="A130:T141">
    <cfRule type="expression" dxfId="1" priority="223">
      <formula>'Check list'!$C$21="Etch"</formula>
    </cfRule>
    <cfRule type="expression" dxfId="1" priority="274">
      <formula>'Check list'!$C$21="No"</formula>
    </cfRule>
  </conditionalFormatting>
  <conditionalFormatting sqref="A142:T154">
    <cfRule type="expression" dxfId="1" priority="4">
      <formula>'Check list'!$C$22="No"</formula>
    </cfRule>
  </conditionalFormatting>
  <conditionalFormatting sqref="A155:T167">
    <cfRule type="expression" dxfId="1" priority="3">
      <formula>'Check list'!$C$23="No"</formula>
    </cfRule>
  </conditionalFormatting>
  <conditionalFormatting sqref="A168:T263">
    <cfRule type="expression" dxfId="1" priority="280">
      <formula>'Check list'!$C$24="No"</formula>
    </cfRule>
  </conditionalFormatting>
  <conditionalFormatting sqref="A180:T263">
    <cfRule type="expression" dxfId="1" priority="252">
      <formula>'Check list'!$C$25="No"</formula>
    </cfRule>
  </conditionalFormatting>
  <conditionalFormatting sqref="A192:T215">
    <cfRule type="expression" dxfId="1" priority="251">
      <formula>'Check list'!$C$26="No"</formula>
    </cfRule>
  </conditionalFormatting>
  <conditionalFormatting sqref="A204:T263">
    <cfRule type="expression" dxfId="1" priority="250">
      <formula>'Check list'!$C$27="No"</formula>
    </cfRule>
  </conditionalFormatting>
  <conditionalFormatting sqref="A216:T263">
    <cfRule type="expression" dxfId="1" priority="222">
      <formula>'Check list'!$C$26="No"</formula>
    </cfRule>
    <cfRule type="expression" dxfId="1" priority="249">
      <formula>'Check list'!$C$28="No"</formula>
    </cfRule>
  </conditionalFormatting>
  <conditionalFormatting sqref="A228:T263">
    <cfRule type="expression" dxfId="1" priority="40">
      <formula>'Check list'!$C$29="No"</formula>
    </cfRule>
  </conditionalFormatting>
  <conditionalFormatting sqref="A240:T263">
    <cfRule type="expression" dxfId="1" priority="39">
      <formula>'Check list'!$C$30="No"</formula>
    </cfRule>
  </conditionalFormatting>
  <conditionalFormatting sqref="A252:T263">
    <cfRule type="expression" dxfId="1" priority="38">
      <formula>'Check list'!$C$31="No"</formula>
    </cfRule>
  </conditionalFormatting>
  <conditionalFormatting sqref="A264:T278">
    <cfRule type="expression" dxfId="1" priority="231">
      <formula>'Check list'!$C$34="Yes"</formula>
    </cfRule>
  </conditionalFormatting>
  <conditionalFormatting sqref="A285:T299">
    <cfRule type="expression" dxfId="1" priority="248">
      <formula>'Check list'!$C$34="No"</formula>
    </cfRule>
  </conditionalFormatting>
  <conditionalFormatting sqref="A340:T344 A346:T371">
    <cfRule type="expression" dxfId="1" priority="245">
      <formula>'Check list'!$C$40="No"</formula>
    </cfRule>
  </conditionalFormatting>
  <conditionalFormatting sqref="A356:K359 M359:P359 A363:K367 L364:P367 L356:P358 A360:P362 M363:P363 Q356:T367">
    <cfRule type="expression" dxfId="1" priority="20">
      <formula>'Check list'!$C$43=1</formula>
    </cfRule>
    <cfRule type="expression" dxfId="1" priority="238">
      <formula>'Check list'!$F$43=0</formula>
    </cfRule>
  </conditionalFormatting>
  <conditionalFormatting sqref="A360:K363 M363:P363 A364:P367 L360:P362 Q360:T367">
    <cfRule type="expression" dxfId="1" priority="19">
      <formula>'Check list'!$C$43=2</formula>
    </cfRule>
    <cfRule type="expression" dxfId="1" priority="237">
      <formula>'Check list'!$G$43=0</formula>
    </cfRule>
  </conditionalFormatting>
  <conditionalFormatting sqref="A364:T367">
    <cfRule type="expression" dxfId="1" priority="18">
      <formula>'Check list'!$C$43=3</formula>
    </cfRule>
    <cfRule type="expression" dxfId="1" priority="236">
      <formula>'Check list'!$H$43=0</formula>
    </cfRule>
  </conditionalFormatting>
  <conditionalFormatting sqref="A414:T419">
    <cfRule type="expression" dxfId="1" priority="33">
      <formula>'Check list'!$C$21="Trim"</formula>
    </cfRule>
    <cfRule type="expression" dxfId="1" priority="34">
      <formula>'Check list'!$C$21="No"</formula>
    </cfRule>
  </conditionalFormatting>
  <conditionalFormatting sqref="A426:T431">
    <cfRule type="expression" dxfId="1" priority="31">
      <formula>'Check list'!$C$34="No"</formula>
    </cfRule>
  </conditionalFormatting>
  <conditionalFormatting sqref="A444:T449">
    <cfRule type="expression" dxfId="1" priority="35">
      <formula>'Check list'!$C$21="No"</formula>
    </cfRule>
    <cfRule type="expression" dxfId="1" priority="36">
      <formula>'Check list'!$C$21="Etch"</formula>
    </cfRule>
  </conditionalFormatting>
  <conditionalFormatting sqref="A450:T455">
    <cfRule type="expression" dxfId="1" priority="37">
      <formula>'Check list'!$C$22="No"</formula>
    </cfRule>
  </conditionalFormatting>
  <conditionalFormatting sqref="A456:T503">
    <cfRule type="expression" dxfId="1" priority="48">
      <formula>'Check list'!$C$24="No"</formula>
    </cfRule>
  </conditionalFormatting>
  <conditionalFormatting sqref="A462:T503">
    <cfRule type="expression" dxfId="1" priority="47">
      <formula>'Check list'!$C$25="No"</formula>
    </cfRule>
  </conditionalFormatting>
  <conditionalFormatting sqref="A468:T503">
    <cfRule type="expression" dxfId="1" priority="46">
      <formula>'Check list'!$C$26="No"</formula>
    </cfRule>
  </conditionalFormatting>
  <conditionalFormatting sqref="A474:T503">
    <cfRule type="expression" dxfId="1" priority="45">
      <formula>'Check list'!$C$27="No"</formula>
    </cfRule>
  </conditionalFormatting>
  <conditionalFormatting sqref="A480:T503">
    <cfRule type="expression" dxfId="1" priority="44">
      <formula>'Check list'!$C$28="No"</formula>
    </cfRule>
  </conditionalFormatting>
  <conditionalFormatting sqref="A486:T503">
    <cfRule type="expression" dxfId="1" priority="43">
      <formula>'Check list'!$C$29="No"</formula>
    </cfRule>
  </conditionalFormatting>
  <conditionalFormatting sqref="A492:T503">
    <cfRule type="expression" dxfId="1" priority="42">
      <formula>'Check list'!$C$30="No"</formula>
    </cfRule>
  </conditionalFormatting>
  <conditionalFormatting sqref="A498:T503">
    <cfRule type="expression" dxfId="1" priority="41">
      <formula>'Check list'!$C$31="No"</formula>
    </cfRule>
  </conditionalFormatting>
  <dataValidations count="2">
    <dataValidation type="list" allowBlank="1" showInputMessage="1" showErrorMessage="1" sqref="Q28:R28 Q36:R36 Q51:R51 Q52:R52 Q78:R78 Q82:R82 Q90:R90 Q91:R91 Q92:R92 Q93:R93 Q94:R94 Q97:R97 Q98:R98 Q99:R99 Q108:R108 Q109:R109 Q110:R110 Q111:R111 Q117:R117 Q140:R140 Q152:R152 Q153:R153 Q154:R154 Q178:R178 Q190:R190 Q202:R202 Q214:R214 Q215:R215 Q216 R216 Q217 R217 Q218 R218 Q219 R219 Q220 R220 Q221 R221 Q222 R222 Q223 R223 Q224 R224 Q225 R225 Q226 R226 Q227 R227 Q298:R298 Q312:R312 Q325:R325 Q326:R326 Q338:R338 Q339:R339 Q345:R345 Q346:R346 Q351:R351 Q352:R352 Q353:R353 Q354:R354 Q355:R355 Q356:R356 Q357:R357 Q358:R358 Q359:R359 Q360:R360 Q361:R361 Q362:R362 Q363:R363 Q364:R364 Q365:R365 Q366:R366 Q367:R367 Q376:R376 Q383:R383 Q391:R391 Q394:R394 Q398:R398 Q404:R404 Q405:R405 Q406:R406 Q412:R412 Q413:R413 Q414:R414 Q415:R415 Q441:R441 Q504:R504 Q228:Q231 Q232:Q237 Q238:Q249 Q250:Q259 Q260:Q261 Q262:Q263 R228:R231 R232:R237 R238:R249 R250:R259 R260:R261 R262:R263 Q79:R81 Q112:R114 Q469:R471 Q100:R107 Q95:R96 Q115:R116 Q155:R156 Q373:R374 Q381:R382 Q399:R400 Q497:R498 Q29:R31 Q395:R397 Q401:R403 Q407:R409 Q428:R430 Q130:R139 Q340:R344 Q327:R337 Q299:R311 Q321:R324 Q377:R380 Q313:R320 Q191:R201 Q128:R129 Q392:R393 Q410:R411 Q426:R427 Q452:R453 Q6:R10 Q83:R89 Q384:R390 Q118:R127 Q168:R177 Q179:R189 Q157:R161 Q492:R496 Q11:R27 Q141:R151 Q53:R77 Q203:R213 Q162:R167 Q264:R297 Q37:R50 Q32:R35 Q368:R372 Q438:R440 Q442:R451 Q347:R350 Q454:R468 Q499:R503 Q431:R437 Q416:R425 Q472:R491">
      <formula1>"0,1"</formula1>
    </dataValidation>
    <dataValidation type="list" allowBlank="1" showInputMessage="1" showErrorMessage="1" sqref="T28 T36 T51 T52 T78 T82 T90 T91 T92 T93 T94 T97 T98 T99 T108 T109 T110 T111 T117 T140 T152 T153 T154 T178 T190 T202 T214 T215 T216 T217 T218 T219 T220 T221 T222 T223 T224 T225 T226 T227 T298 T312 T325 T326 T338 T339 T345 T346 T351 T352 T353 T354 T355 T356 T357 T358 T359 T360 T361 T362 T363 T364 T365 T366 T367 T373 T376 T383 T391 T394 T398 T404 T405 T406 T412 T413 T414 T415 T441 T504 T6:T10 T11:T27 T29:T31 T32:T35 T37:T50 T53:T77 T79:T81 T83:T89 T95:T96 T100:T107 T112:T114 T115:T116 T118:T127 T128:T129 T130:T139 T141:T151 T155:T156 T157:T161 T162:T167 T168:T177 T179:T189 T191:T201 T203:T213 T228:T231 T232:T237 T238:T249 T250:T259 T260:T261 T262:T263 T264:T297 T299:T311 T313:T320 T321:T324 T327:T337 T340:T344 T347:T350 T368:T372 T377:T380 T381:T382 T384:T390 T392:T393 T395:T397 T399:T400 T401:T403 T407:T409 T410:T411 T416:T425 T426:T427 T428:T430 T431:T437 T438:T440 T442:T451 T452:T453 T454:T468 T469:T471 T472:T491 T492:T496 T497:T498 T499:T503">
      <formula1>"Track In,Track Out"</formula1>
    </dataValidation>
  </dataValidations>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3:D43"/>
  <sheetViews>
    <sheetView topLeftCell="A16" workbookViewId="0">
      <selection activeCell="G30" sqref="G30"/>
    </sheetView>
  </sheetViews>
  <sheetFormatPr defaultColWidth="9" defaultRowHeight="13.8" outlineLevelCol="3"/>
  <cols>
    <col min="2" max="2" width="14.25" customWidth="1"/>
  </cols>
  <sheetData>
    <row r="3" spans="2:4">
      <c r="B3" s="2" t="s">
        <v>958</v>
      </c>
      <c r="C3" s="2" t="s">
        <v>959</v>
      </c>
      <c r="D3" s="2" t="s">
        <v>960</v>
      </c>
    </row>
    <row r="4" spans="2:4">
      <c r="B4" s="2" t="s">
        <v>128</v>
      </c>
      <c r="C4" s="2"/>
      <c r="D4" s="3" t="s">
        <v>71</v>
      </c>
    </row>
    <row r="5" spans="2:4">
      <c r="B5" s="2" t="s">
        <v>133</v>
      </c>
      <c r="C5" s="2"/>
      <c r="D5" s="3" t="s">
        <v>71</v>
      </c>
    </row>
    <row r="6" spans="2:4">
      <c r="B6" s="2" t="s">
        <v>47</v>
      </c>
      <c r="C6" s="2" t="s">
        <v>47</v>
      </c>
      <c r="D6" s="3" t="s">
        <v>78</v>
      </c>
    </row>
    <row r="7" spans="2:4">
      <c r="B7" s="2" t="s">
        <v>49</v>
      </c>
      <c r="C7" s="2" t="s">
        <v>49</v>
      </c>
      <c r="D7" s="3" t="s">
        <v>82</v>
      </c>
    </row>
    <row r="8" spans="2:4">
      <c r="B8" s="2" t="s">
        <v>276</v>
      </c>
      <c r="C8" s="2" t="s">
        <v>52</v>
      </c>
      <c r="D8" s="3" t="s">
        <v>62</v>
      </c>
    </row>
    <row r="9" spans="2:4">
      <c r="B9" s="2" t="s">
        <v>292</v>
      </c>
      <c r="C9" s="2" t="s">
        <v>55</v>
      </c>
      <c r="D9" s="3" t="s">
        <v>961</v>
      </c>
    </row>
    <row r="10" spans="2:4">
      <c r="B10" s="2" t="s">
        <v>52</v>
      </c>
      <c r="C10" s="2" t="s">
        <v>52</v>
      </c>
      <c r="D10" s="3" t="s">
        <v>962</v>
      </c>
    </row>
    <row r="11" spans="2:4">
      <c r="B11" s="2" t="s">
        <v>55</v>
      </c>
      <c r="C11" s="2" t="s">
        <v>55</v>
      </c>
      <c r="D11" s="3" t="s">
        <v>963</v>
      </c>
    </row>
    <row r="12" spans="2:4">
      <c r="B12" s="2" t="s">
        <v>964</v>
      </c>
      <c r="C12" s="2" t="s">
        <v>63</v>
      </c>
      <c r="D12" s="3" t="s">
        <v>965</v>
      </c>
    </row>
    <row r="13" spans="2:4">
      <c r="B13" s="2" t="s">
        <v>58</v>
      </c>
      <c r="C13" s="2" t="s">
        <v>966</v>
      </c>
      <c r="D13" s="3" t="s">
        <v>967</v>
      </c>
    </row>
    <row r="14" spans="2:4">
      <c r="B14" s="4" t="s">
        <v>60</v>
      </c>
      <c r="C14" s="4" t="s">
        <v>968</v>
      </c>
      <c r="D14" s="5" t="s">
        <v>969</v>
      </c>
    </row>
    <row r="15" spans="2:4">
      <c r="B15" s="2" t="s">
        <v>970</v>
      </c>
      <c r="C15" s="2"/>
      <c r="D15" s="3" t="s">
        <v>971</v>
      </c>
    </row>
    <row r="16" spans="2:4">
      <c r="B16" s="2" t="s">
        <v>441</v>
      </c>
      <c r="C16" s="2" t="s">
        <v>972</v>
      </c>
      <c r="D16" s="3" t="s">
        <v>973</v>
      </c>
    </row>
    <row r="17" spans="2:4">
      <c r="B17" s="4" t="s">
        <v>467</v>
      </c>
      <c r="C17" s="4" t="s">
        <v>974</v>
      </c>
      <c r="D17" s="5" t="s">
        <v>975</v>
      </c>
    </row>
    <row r="18" spans="2:4">
      <c r="B18" s="2" t="s">
        <v>70</v>
      </c>
      <c r="C18" s="2" t="s">
        <v>70</v>
      </c>
      <c r="D18" s="3" t="s">
        <v>57</v>
      </c>
    </row>
    <row r="19" spans="2:4">
      <c r="B19" s="2" t="s">
        <v>72</v>
      </c>
      <c r="C19" s="2" t="s">
        <v>72</v>
      </c>
      <c r="D19" s="3" t="s">
        <v>976</v>
      </c>
    </row>
    <row r="20" spans="2:4">
      <c r="B20" s="2" t="s">
        <v>74</v>
      </c>
      <c r="C20" s="2" t="s">
        <v>74</v>
      </c>
      <c r="D20" s="3" t="s">
        <v>977</v>
      </c>
    </row>
    <row r="21" spans="2:4">
      <c r="B21" s="2" t="s">
        <v>75</v>
      </c>
      <c r="C21" s="2" t="s">
        <v>75</v>
      </c>
      <c r="D21" s="3" t="s">
        <v>978</v>
      </c>
    </row>
    <row r="22" spans="2:4">
      <c r="B22" s="2" t="s">
        <v>76</v>
      </c>
      <c r="C22" s="2" t="s">
        <v>76</v>
      </c>
      <c r="D22" s="3" t="s">
        <v>979</v>
      </c>
    </row>
    <row r="23" spans="2:4">
      <c r="B23" s="2" t="s">
        <v>77</v>
      </c>
      <c r="C23" s="2" t="s">
        <v>77</v>
      </c>
      <c r="D23" s="3" t="s">
        <v>980</v>
      </c>
    </row>
    <row r="24" spans="2:4">
      <c r="B24" s="2" t="s">
        <v>79</v>
      </c>
      <c r="C24" s="2" t="s">
        <v>79</v>
      </c>
      <c r="D24" s="3" t="s">
        <v>981</v>
      </c>
    </row>
    <row r="25" spans="2:4">
      <c r="B25" s="2" t="s">
        <v>81</v>
      </c>
      <c r="C25" s="2" t="s">
        <v>81</v>
      </c>
      <c r="D25" s="3" t="s">
        <v>982</v>
      </c>
    </row>
    <row r="26" spans="2:4">
      <c r="B26" s="2" t="s">
        <v>83</v>
      </c>
      <c r="C26" s="2" t="s">
        <v>83</v>
      </c>
      <c r="D26" s="3" t="s">
        <v>89</v>
      </c>
    </row>
    <row r="27" spans="2:4">
      <c r="B27" s="2" t="s">
        <v>683</v>
      </c>
      <c r="C27" s="2" t="s">
        <v>88</v>
      </c>
      <c r="D27" s="3" t="s">
        <v>983</v>
      </c>
    </row>
    <row r="28" spans="2:4">
      <c r="B28" s="2" t="s">
        <v>87</v>
      </c>
      <c r="C28" s="2" t="s">
        <v>87</v>
      </c>
      <c r="D28" s="3" t="s">
        <v>984</v>
      </c>
    </row>
    <row r="29" spans="2:4">
      <c r="B29" s="2" t="s">
        <v>88</v>
      </c>
      <c r="C29" s="2" t="s">
        <v>88</v>
      </c>
      <c r="D29" s="3" t="s">
        <v>985</v>
      </c>
    </row>
    <row r="30" spans="2:4">
      <c r="B30" s="2" t="s">
        <v>749</v>
      </c>
      <c r="C30" s="2" t="s">
        <v>986</v>
      </c>
      <c r="D30" s="3" t="s">
        <v>987</v>
      </c>
    </row>
    <row r="31" spans="2:4">
      <c r="B31" s="6" t="s">
        <v>988</v>
      </c>
      <c r="C31" s="6" t="s">
        <v>988</v>
      </c>
      <c r="D31" s="7" t="s">
        <v>989</v>
      </c>
    </row>
    <row r="32" spans="2:4">
      <c r="B32" s="6" t="s">
        <v>990</v>
      </c>
      <c r="C32" s="6"/>
      <c r="D32" s="7" t="s">
        <v>991</v>
      </c>
    </row>
    <row r="33" spans="2:4">
      <c r="B33" s="6" t="s">
        <v>992</v>
      </c>
      <c r="C33" s="6"/>
      <c r="D33" s="7" t="s">
        <v>993</v>
      </c>
    </row>
    <row r="34" spans="2:4">
      <c r="B34" s="4" t="s">
        <v>994</v>
      </c>
      <c r="C34" s="4" t="s">
        <v>994</v>
      </c>
      <c r="D34" s="5" t="s">
        <v>995</v>
      </c>
    </row>
    <row r="35" spans="2:4">
      <c r="B35" s="2" t="s">
        <v>92</v>
      </c>
      <c r="C35" s="2" t="s">
        <v>92</v>
      </c>
      <c r="D35" s="3" t="s">
        <v>996</v>
      </c>
    </row>
    <row r="36" spans="2:4">
      <c r="B36" s="6" t="s">
        <v>997</v>
      </c>
      <c r="C36" s="6"/>
      <c r="D36" s="7" t="s">
        <v>998</v>
      </c>
    </row>
    <row r="37" spans="2:4">
      <c r="B37" s="6" t="s">
        <v>999</v>
      </c>
      <c r="C37" s="6"/>
      <c r="D37" s="7" t="s">
        <v>1000</v>
      </c>
    </row>
    <row r="38" spans="2:4">
      <c r="B38" s="2" t="s">
        <v>806</v>
      </c>
      <c r="C38" s="2"/>
      <c r="D38" s="3" t="s">
        <v>1001</v>
      </c>
    </row>
    <row r="39" spans="2:4">
      <c r="B39" s="6" t="s">
        <v>828</v>
      </c>
      <c r="C39" s="6"/>
      <c r="D39" s="7" t="s">
        <v>1002</v>
      </c>
    </row>
    <row r="40" spans="2:4">
      <c r="B40" s="6" t="s">
        <v>1003</v>
      </c>
      <c r="C40" s="6"/>
      <c r="D40" s="7" t="s">
        <v>1004</v>
      </c>
    </row>
    <row r="41" spans="2:4">
      <c r="B41" s="2" t="s">
        <v>842</v>
      </c>
      <c r="C41" s="2"/>
      <c r="D41" s="3" t="s">
        <v>1005</v>
      </c>
    </row>
    <row r="42" spans="2:4">
      <c r="B42" s="2" t="s">
        <v>891</v>
      </c>
      <c r="C42" s="2"/>
      <c r="D42" s="3" t="s">
        <v>1006</v>
      </c>
    </row>
    <row r="43" spans="2:4">
      <c r="B43" s="2" t="s">
        <v>899</v>
      </c>
      <c r="C43" s="2"/>
      <c r="D43" s="3" t="s">
        <v>1007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36"/>
  <sheetViews>
    <sheetView workbookViewId="0">
      <selection activeCell="Q33" sqref="Q33"/>
    </sheetView>
  </sheetViews>
  <sheetFormatPr defaultColWidth="9" defaultRowHeight="13.8" outlineLevelCol="1"/>
  <sheetData>
    <row r="1" spans="1:2">
      <c r="A1" s="1" t="s">
        <v>1008</v>
      </c>
      <c r="B1" s="1"/>
    </row>
    <row r="2" spans="1:1">
      <c r="A2" t="s">
        <v>1009</v>
      </c>
    </row>
    <row r="3" spans="1:1">
      <c r="A3" t="s">
        <v>1010</v>
      </c>
    </row>
    <row r="4" spans="1:1">
      <c r="A4" t="s">
        <v>1011</v>
      </c>
    </row>
    <row r="5" spans="1:1">
      <c r="A5" t="s">
        <v>1012</v>
      </c>
    </row>
    <row r="6" spans="1:1">
      <c r="A6" t="s">
        <v>1013</v>
      </c>
    </row>
    <row r="7" spans="1:1">
      <c r="A7" t="s">
        <v>1014</v>
      </c>
    </row>
    <row r="10" spans="1:1">
      <c r="A10" t="s">
        <v>1015</v>
      </c>
    </row>
    <row r="11" spans="1:1">
      <c r="A11" t="s">
        <v>1016</v>
      </c>
    </row>
    <row r="12" spans="1:1">
      <c r="A12" t="s">
        <v>1017</v>
      </c>
    </row>
    <row r="13" spans="1:1">
      <c r="A13" t="s">
        <v>1018</v>
      </c>
    </row>
    <row r="14" spans="1:1">
      <c r="A14" t="s">
        <v>1019</v>
      </c>
    </row>
    <row r="17" spans="1:2">
      <c r="A17" s="1" t="s">
        <v>1020</v>
      </c>
      <c r="B17" s="1"/>
    </row>
    <row r="18" spans="1:1">
      <c r="A18" t="s">
        <v>1021</v>
      </c>
    </row>
    <row r="21" spans="1:1">
      <c r="A21" s="1" t="s">
        <v>1022</v>
      </c>
    </row>
    <row r="22" spans="1:1">
      <c r="A22" t="s">
        <v>1023</v>
      </c>
    </row>
    <row r="25" spans="1:1">
      <c r="A25" s="1" t="s">
        <v>1024</v>
      </c>
    </row>
    <row r="26" spans="1:1">
      <c r="A26" t="s">
        <v>1025</v>
      </c>
    </row>
    <row r="27" spans="1:1">
      <c r="A27" t="s">
        <v>1026</v>
      </c>
    </row>
    <row r="30" spans="1:1">
      <c r="A30" s="1" t="s">
        <v>1027</v>
      </c>
    </row>
    <row r="31" spans="1:1">
      <c r="A31" t="s">
        <v>1028</v>
      </c>
    </row>
    <row r="32" spans="1:1">
      <c r="A32" t="s">
        <v>1029</v>
      </c>
    </row>
    <row r="33" spans="1:1">
      <c r="A33" t="s">
        <v>1030</v>
      </c>
    </row>
    <row r="34" spans="1:1">
      <c r="A34" t="s">
        <v>1031</v>
      </c>
    </row>
    <row r="35" spans="1:1">
      <c r="A35" t="s">
        <v>1032</v>
      </c>
    </row>
    <row r="36" spans="1:1">
      <c r="A36" t="s">
        <v>1033</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arrUserId title="Mask" rangeCreator="" othersAccessPermission="edit"/>
    <arrUserId title="Film THK" rangeCreator="" othersAccessPermission="edit"/>
    <arrUserId title="Trim frequency" rangeCreator="" othersAccessPermission="edit"/>
    <arrUserId title="Trim base" rangeCreator="" othersAccessPermission="edit"/>
    <arrUserId title="Production name" rangeCreator="" othersAccessPermission="edit"/>
    <arrUserId title="Sc percent select" rangeCreator="" othersAccessPermission="edit"/>
    <arrUserId title="Route select" rangeCreator="" othersAccessPermission="edit"/>
    <arrUserId title="select Tx Rx" rangeCreator="" othersAccessPermission="edit"/>
    <arrUserId title="Trim times" rangeCreator="" othersAccessPermission="edit"/>
    <arrUserId title="Trim AB value" rangeCreator="" othersAccessPermission="edit"/>
  </rangeList>
  <rangeList sheetStid="1" master=""/>
  <rangeList sheetStid="5" master=""/>
  <rangeList sheetStid="4"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Check list</vt:lpstr>
      <vt:lpstr>Runcard-template</vt:lpstr>
      <vt:lpstr>Layer mask及简写</vt:lpstr>
      <vt:lpstr>更新内容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YUYANCHUAN</dc:creator>
  <cp:lastModifiedBy>weidemeng</cp:lastModifiedBy>
  <dcterms:created xsi:type="dcterms:W3CDTF">2019-05-14T08:37:00Z</dcterms:created>
  <dcterms:modified xsi:type="dcterms:W3CDTF">2024-03-12T05:48:13Z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E9AB7BD9643D4F4E9575950EF8EA5F18</vt:lpwstr>
  </property>
  <property fmtid="{D5CDD505-2E9C-101B-9397-08002B2CF9AE}" pid="3" name="KSOProductBuildVer">
    <vt:lpwstr>2052-11.8.2.11500</vt:lpwstr>
  </property>
</Properties>
</file>